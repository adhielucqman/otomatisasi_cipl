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1940"/>
  </bookViews>
  <sheets>
    <sheet name="Sheet1" sheetId="1" r:id="rId1"/>
    <sheet name="Sheet2" sheetId="4" state="hidden" r:id="rId2"/>
    <sheet name="Sheet3" sheetId="5" r:id="rId3"/>
  </sheets>
  <externalReferences>
    <externalReference r:id="rId4"/>
  </externalReferences>
  <definedNames>
    <definedName name="_xlnm._FilterDatabase" localSheetId="0" hidden="1">Sheet1!$A$1:$BI$75</definedName>
  </definedNames>
  <calcPr calcId="144525"/>
</workbook>
</file>

<file path=xl/calcChain.xml><?xml version="1.0" encoding="utf-8"?>
<calcChain xmlns="http://schemas.openxmlformats.org/spreadsheetml/2006/main">
  <c r="H2" i="4" l="1"/>
  <c r="E2" i="4"/>
  <c r="D2" i="4"/>
  <c r="C2" i="4"/>
  <c r="B2" i="4"/>
  <c r="BH75" i="1"/>
  <c r="BI75" i="1" s="1"/>
  <c r="BB75" i="1"/>
  <c r="BA75" i="1"/>
  <c r="AZ75" i="1"/>
  <c r="BF75" i="1" s="1"/>
  <c r="BC75" i="1" s="1"/>
  <c r="BH74" i="1"/>
  <c r="BI74" i="1" s="1"/>
  <c r="BB74" i="1"/>
  <c r="BA74" i="1"/>
  <c r="AZ74" i="1"/>
  <c r="BF74" i="1" s="1"/>
  <c r="BC74" i="1" s="1"/>
  <c r="BI73" i="1"/>
  <c r="BH73" i="1"/>
  <c r="BB73" i="1"/>
  <c r="BA73" i="1"/>
  <c r="AZ73" i="1"/>
  <c r="BF73" i="1" s="1"/>
  <c r="BC73" i="1" s="1"/>
  <c r="BI72" i="1"/>
  <c r="BH72" i="1"/>
  <c r="BB72" i="1"/>
  <c r="BA72" i="1"/>
  <c r="AZ72" i="1"/>
  <c r="BF72" i="1" s="1"/>
  <c r="BC72" i="1" s="1"/>
  <c r="BI71" i="1"/>
  <c r="BH71" i="1"/>
  <c r="BB71" i="1"/>
  <c r="BA71" i="1"/>
  <c r="AZ71" i="1"/>
  <c r="BF71" i="1" s="1"/>
  <c r="BC71" i="1" s="1"/>
  <c r="BH70" i="1"/>
  <c r="BI70" i="1" s="1"/>
  <c r="BB70" i="1"/>
  <c r="BA70" i="1"/>
  <c r="AZ70" i="1"/>
  <c r="BF70" i="1" s="1"/>
  <c r="BC70" i="1" s="1"/>
  <c r="BH69" i="1"/>
  <c r="BI69" i="1" s="1"/>
  <c r="BF69" i="1"/>
  <c r="BC69" i="1" s="1"/>
  <c r="BB69" i="1"/>
  <c r="BA69" i="1"/>
  <c r="AZ69" i="1"/>
  <c r="BI68" i="1"/>
  <c r="BH68" i="1"/>
  <c r="BF68" i="1"/>
  <c r="BC68" i="1"/>
  <c r="BB68" i="1"/>
  <c r="BA68" i="1"/>
  <c r="AZ68" i="1"/>
  <c r="BH67" i="1"/>
  <c r="BI67" i="1" s="1"/>
  <c r="BB67" i="1"/>
  <c r="BF67" i="1" s="1"/>
  <c r="BC67" i="1" s="1"/>
  <c r="BA67" i="1"/>
  <c r="AZ67" i="1"/>
  <c r="BH66" i="1"/>
  <c r="BI66" i="1" s="1"/>
  <c r="BF66" i="1"/>
  <c r="BC66" i="1" s="1"/>
  <c r="BB66" i="1"/>
  <c r="BA66" i="1"/>
  <c r="AZ66" i="1"/>
  <c r="BH65" i="1"/>
  <c r="BI65" i="1" s="1"/>
  <c r="BB65" i="1"/>
  <c r="BA65" i="1"/>
  <c r="AZ65" i="1"/>
  <c r="BF65" i="1" s="1"/>
  <c r="BC65" i="1" s="1"/>
  <c r="BI64" i="1"/>
  <c r="BH64" i="1"/>
  <c r="BB64" i="1"/>
  <c r="BA64" i="1"/>
  <c r="AZ64" i="1"/>
  <c r="BF64" i="1" s="1"/>
  <c r="BC64" i="1" s="1"/>
  <c r="BI63" i="1"/>
  <c r="BH63" i="1"/>
  <c r="BB63" i="1"/>
  <c r="BA63" i="1"/>
  <c r="AZ63" i="1"/>
  <c r="BF63" i="1" s="1"/>
  <c r="BC63" i="1" s="1"/>
  <c r="BH62" i="1"/>
  <c r="BI62" i="1" s="1"/>
  <c r="BB62" i="1"/>
  <c r="BA62" i="1"/>
  <c r="AZ62" i="1"/>
  <c r="BF62" i="1" s="1"/>
  <c r="BC62" i="1" s="1"/>
  <c r="BI61" i="1"/>
  <c r="BH61" i="1"/>
  <c r="BF61" i="1"/>
  <c r="BC61" i="1" s="1"/>
  <c r="BB61" i="1"/>
  <c r="BA61" i="1"/>
  <c r="AZ61" i="1"/>
  <c r="BH60" i="1"/>
  <c r="BI60" i="1" s="1"/>
  <c r="BB60" i="1"/>
  <c r="BA60" i="1"/>
  <c r="AZ60" i="1"/>
  <c r="BF60" i="1" s="1"/>
  <c r="BC60" i="1" s="1"/>
  <c r="BH59" i="1"/>
  <c r="BI59" i="1" s="1"/>
  <c r="BB59" i="1"/>
  <c r="BA59" i="1"/>
  <c r="AZ59" i="1"/>
  <c r="BF59" i="1" s="1"/>
  <c r="BC59" i="1" s="1"/>
  <c r="BI58" i="1"/>
  <c r="BH58" i="1"/>
  <c r="BB58" i="1"/>
  <c r="BA58" i="1"/>
  <c r="AZ58" i="1"/>
  <c r="BF58" i="1" s="1"/>
  <c r="BC58" i="1" s="1"/>
  <c r="BI57" i="1"/>
  <c r="BH57" i="1"/>
  <c r="BB57" i="1"/>
  <c r="BA57" i="1"/>
  <c r="AZ57" i="1"/>
  <c r="BF57" i="1" s="1"/>
  <c r="BC57" i="1" s="1"/>
  <c r="BH56" i="1"/>
  <c r="BI56" i="1" s="1"/>
  <c r="BF56" i="1"/>
  <c r="BC56" i="1" s="1"/>
  <c r="BB56" i="1"/>
  <c r="BA56" i="1"/>
  <c r="AZ56" i="1"/>
  <c r="BI55" i="1"/>
  <c r="BH55" i="1"/>
  <c r="BF55" i="1"/>
  <c r="BC55" i="1" s="1"/>
  <c r="BB55" i="1"/>
  <c r="BA55" i="1"/>
  <c r="AZ55" i="1"/>
  <c r="BH54" i="1"/>
  <c r="BI54" i="1" s="1"/>
  <c r="BB54" i="1"/>
  <c r="BF54" i="1" s="1"/>
  <c r="BC54" i="1" s="1"/>
  <c r="BA54" i="1"/>
  <c r="AZ54" i="1"/>
  <c r="BI53" i="1"/>
  <c r="BH53" i="1"/>
  <c r="BF53" i="1"/>
  <c r="BC53" i="1" s="1"/>
  <c r="BB53" i="1"/>
  <c r="BA53" i="1"/>
  <c r="AZ53" i="1"/>
  <c r="BH52" i="1"/>
  <c r="BI52" i="1" s="1"/>
  <c r="BB52" i="1"/>
  <c r="BA52" i="1"/>
  <c r="AZ52" i="1"/>
  <c r="BF52" i="1" s="1"/>
  <c r="BC52" i="1" s="1"/>
  <c r="BI51" i="1"/>
  <c r="BH51" i="1"/>
  <c r="BB51" i="1"/>
  <c r="BA51" i="1"/>
  <c r="AZ51" i="1"/>
  <c r="BF51" i="1" s="1"/>
  <c r="BC51" i="1" s="1"/>
  <c r="BH50" i="1"/>
  <c r="BI50" i="1" s="1"/>
  <c r="BB50" i="1"/>
  <c r="BA50" i="1"/>
  <c r="AZ50" i="1"/>
  <c r="BF50" i="1" s="1"/>
  <c r="BC50" i="1" s="1"/>
  <c r="BI49" i="1"/>
  <c r="BH49" i="1"/>
  <c r="BB49" i="1"/>
  <c r="BA49" i="1"/>
  <c r="AZ49" i="1"/>
  <c r="BF49" i="1" s="1"/>
  <c r="BC49" i="1" s="1"/>
  <c r="BH48" i="1"/>
  <c r="BI48" i="1" s="1"/>
  <c r="BF48" i="1"/>
  <c r="BC48" i="1"/>
  <c r="BB48" i="1"/>
  <c r="BA48" i="1"/>
  <c r="AZ48" i="1"/>
  <c r="BI47" i="1"/>
  <c r="BH47" i="1"/>
  <c r="BF47" i="1"/>
  <c r="BC47" i="1" s="1"/>
  <c r="BB47" i="1"/>
  <c r="BA47" i="1"/>
  <c r="AZ47" i="1"/>
  <c r="BH46" i="1"/>
  <c r="BI46" i="1" s="1"/>
  <c r="BB46" i="1"/>
  <c r="BF46" i="1" s="1"/>
  <c r="BC46" i="1" s="1"/>
  <c r="BA46" i="1"/>
  <c r="AZ46" i="1"/>
  <c r="BI45" i="1"/>
  <c r="BH45" i="1"/>
  <c r="BF45" i="1"/>
  <c r="BC45" i="1" s="1"/>
  <c r="BB45" i="1"/>
  <c r="BA45" i="1"/>
  <c r="AZ45" i="1"/>
  <c r="BH44" i="1"/>
  <c r="BI44" i="1" s="1"/>
  <c r="BB44" i="1"/>
  <c r="BA44" i="1"/>
  <c r="AZ44" i="1"/>
  <c r="BF44" i="1" s="1"/>
  <c r="BC44" i="1" s="1"/>
  <c r="BI43" i="1"/>
  <c r="BH43" i="1"/>
  <c r="BB43" i="1"/>
  <c r="BA43" i="1"/>
  <c r="AZ43" i="1"/>
  <c r="BF43" i="1" s="1"/>
  <c r="BC43" i="1" s="1"/>
  <c r="BH42" i="1"/>
  <c r="BI42" i="1" s="1"/>
  <c r="BB42" i="1"/>
  <c r="BA42" i="1"/>
  <c r="AZ42" i="1"/>
  <c r="BF42" i="1" s="1"/>
  <c r="BC42" i="1" s="1"/>
  <c r="BI41" i="1"/>
  <c r="BH41" i="1"/>
  <c r="BB41" i="1"/>
  <c r="BA41" i="1"/>
  <c r="AZ41" i="1"/>
  <c r="BF41" i="1" s="1"/>
  <c r="BC41" i="1" s="1"/>
  <c r="BH40" i="1"/>
  <c r="BI40" i="1" s="1"/>
  <c r="BF40" i="1"/>
  <c r="BC40" i="1"/>
  <c r="BB40" i="1"/>
  <c r="BA40" i="1"/>
  <c r="AZ40" i="1"/>
  <c r="BH39" i="1"/>
  <c r="BB39" i="1"/>
  <c r="BF39" i="1" s="1"/>
  <c r="BC39" i="1" s="1"/>
  <c r="BA39" i="1"/>
  <c r="AZ39" i="1"/>
  <c r="BI38" i="1"/>
  <c r="BH38" i="1"/>
  <c r="BF38" i="1"/>
  <c r="BC38" i="1" s="1"/>
  <c r="BB38" i="1"/>
  <c r="BA38" i="1"/>
  <c r="AZ38" i="1"/>
  <c r="BH37" i="1"/>
  <c r="BI37" i="1" s="1"/>
  <c r="BB37" i="1"/>
  <c r="BA37" i="1"/>
  <c r="AZ37" i="1"/>
  <c r="BF37" i="1" s="1"/>
  <c r="BC37" i="1" s="1"/>
  <c r="BI36" i="1"/>
  <c r="BH36" i="1"/>
  <c r="BB36" i="1"/>
  <c r="BA36" i="1"/>
  <c r="AZ36" i="1"/>
  <c r="BF36" i="1" s="1"/>
  <c r="BC36" i="1" s="1"/>
  <c r="BH35" i="1"/>
  <c r="BI35" i="1" s="1"/>
  <c r="BB35" i="1"/>
  <c r="BA35" i="1"/>
  <c r="AZ35" i="1"/>
  <c r="BF35" i="1" s="1"/>
  <c r="BC35" i="1" s="1"/>
  <c r="BI34" i="1"/>
  <c r="BH34" i="1"/>
  <c r="BB34" i="1"/>
  <c r="BA34" i="1"/>
  <c r="AZ34" i="1"/>
  <c r="BF34" i="1" s="1"/>
  <c r="BC34" i="1" s="1"/>
  <c r="BH33" i="1"/>
  <c r="BI33" i="1" s="1"/>
  <c r="BF33" i="1"/>
  <c r="BC33" i="1"/>
  <c r="BB33" i="1"/>
  <c r="BA33" i="1"/>
  <c r="AZ33" i="1"/>
  <c r="BI32" i="1"/>
  <c r="BH32" i="1"/>
  <c r="BB32" i="1"/>
  <c r="BF32" i="1" s="1"/>
  <c r="BC32" i="1" s="1"/>
  <c r="BA32" i="1"/>
  <c r="AZ32" i="1"/>
  <c r="BH31" i="1"/>
  <c r="BI31" i="1" s="1"/>
  <c r="BB31" i="1"/>
  <c r="BF31" i="1" s="1"/>
  <c r="BC31" i="1" s="1"/>
  <c r="BA31" i="1"/>
  <c r="AZ31" i="1"/>
  <c r="BH30" i="1"/>
  <c r="BI30" i="1" s="1"/>
  <c r="BF30" i="1"/>
  <c r="BC30" i="1" s="1"/>
  <c r="BB30" i="1"/>
  <c r="BA30" i="1"/>
  <c r="AZ30" i="1"/>
  <c r="BH29" i="1"/>
  <c r="BI29" i="1" s="1"/>
  <c r="BB29" i="1"/>
  <c r="BA29" i="1"/>
  <c r="AZ29" i="1"/>
  <c r="BF29" i="1" s="1"/>
  <c r="BC29" i="1" s="1"/>
  <c r="BI28" i="1"/>
  <c r="BH28" i="1"/>
  <c r="BB28" i="1"/>
  <c r="BA28" i="1"/>
  <c r="AZ28" i="1"/>
  <c r="BF28" i="1" s="1"/>
  <c r="BC28" i="1" s="1"/>
  <c r="BH27" i="1"/>
  <c r="BI27" i="1" s="1"/>
  <c r="BB27" i="1"/>
  <c r="BA27" i="1"/>
  <c r="AZ27" i="1"/>
  <c r="BF27" i="1" s="1"/>
  <c r="BC27" i="1" s="1"/>
  <c r="BI26" i="1"/>
  <c r="BH26" i="1"/>
  <c r="BB26" i="1"/>
  <c r="BA26" i="1"/>
  <c r="AZ26" i="1"/>
  <c r="BH25" i="1"/>
  <c r="BI25" i="1" s="1"/>
  <c r="BB25" i="1"/>
  <c r="BA25" i="1"/>
  <c r="AZ25" i="1"/>
  <c r="BI24" i="1"/>
  <c r="BH24" i="1"/>
  <c r="BB24" i="1"/>
  <c r="BF24" i="1" s="1"/>
  <c r="BC24" i="1" s="1"/>
  <c r="BA24" i="1"/>
  <c r="AZ24" i="1"/>
  <c r="BH23" i="1"/>
  <c r="BI23" i="1" s="1"/>
  <c r="BB23" i="1"/>
  <c r="BA23" i="1"/>
  <c r="AZ23" i="1"/>
  <c r="BF23" i="1" s="1"/>
  <c r="BC23" i="1" s="1"/>
  <c r="BI22" i="1"/>
  <c r="BH22" i="1"/>
  <c r="BB22" i="1"/>
  <c r="BA22" i="1"/>
  <c r="AZ22" i="1"/>
  <c r="BH21" i="1"/>
  <c r="BI21" i="1" s="1"/>
  <c r="BF21" i="1"/>
  <c r="BC21" i="1" s="1"/>
  <c r="BB21" i="1"/>
  <c r="BA21" i="1"/>
  <c r="AZ21" i="1"/>
  <c r="BI20" i="1"/>
  <c r="BH20" i="1"/>
  <c r="BB20" i="1"/>
  <c r="BA20" i="1"/>
  <c r="AZ20" i="1"/>
  <c r="BF20" i="1" s="1"/>
  <c r="BC20" i="1" s="1"/>
  <c r="BH19" i="1"/>
  <c r="BI19" i="1" s="1"/>
  <c r="BB19" i="1"/>
  <c r="BA19" i="1"/>
  <c r="AZ19" i="1"/>
  <c r="BF19" i="1" s="1"/>
  <c r="BC19" i="1" s="1"/>
  <c r="BI18" i="1"/>
  <c r="BH18" i="1"/>
  <c r="BB18" i="1"/>
  <c r="BA18" i="1"/>
  <c r="AZ18" i="1"/>
  <c r="BF18" i="1" s="1"/>
  <c r="BC18" i="1" s="1"/>
  <c r="BH17" i="1"/>
  <c r="BI17" i="1" s="1"/>
  <c r="BB17" i="1"/>
  <c r="BA17" i="1"/>
  <c r="AZ17" i="1"/>
  <c r="BF17" i="1" s="1"/>
  <c r="BC17" i="1" s="1"/>
  <c r="BI16" i="1"/>
  <c r="BH16" i="1"/>
  <c r="BB16" i="1"/>
  <c r="BA16" i="1"/>
  <c r="AZ16" i="1"/>
  <c r="BF16" i="1" s="1"/>
  <c r="BC16" i="1" s="1"/>
  <c r="BH15" i="1"/>
  <c r="BI15" i="1" s="1"/>
  <c r="BB15" i="1"/>
  <c r="BF15" i="1" s="1"/>
  <c r="BC15" i="1" s="1"/>
  <c r="BA15" i="1"/>
  <c r="AZ15" i="1"/>
  <c r="BI14" i="1"/>
  <c r="BH14" i="1"/>
  <c r="BF14" i="1"/>
  <c r="BC14" i="1" s="1"/>
  <c r="BB14" i="1"/>
  <c r="BA14" i="1"/>
  <c r="AZ14" i="1"/>
  <c r="BH13" i="1"/>
  <c r="BI13" i="1" s="1"/>
  <c r="BF13" i="1"/>
  <c r="BC13" i="1"/>
  <c r="BB13" i="1"/>
  <c r="BA13" i="1"/>
  <c r="AZ13" i="1"/>
  <c r="BI12" i="1"/>
  <c r="BH12" i="1"/>
  <c r="BB12" i="1"/>
  <c r="BA12" i="1"/>
  <c r="AZ12" i="1"/>
  <c r="BF12" i="1" s="1"/>
  <c r="BC12" i="1" s="1"/>
  <c r="BH11" i="1"/>
  <c r="BI11" i="1" s="1"/>
  <c r="BB11" i="1"/>
  <c r="BA11" i="1"/>
  <c r="AZ11" i="1"/>
  <c r="BF11" i="1" s="1"/>
  <c r="BC11" i="1" s="1"/>
  <c r="BI10" i="1"/>
  <c r="BH10" i="1"/>
  <c r="BB10" i="1"/>
  <c r="BA10" i="1"/>
  <c r="AZ10" i="1"/>
  <c r="BF10" i="1" s="1"/>
  <c r="BC10" i="1" s="1"/>
  <c r="BH9" i="1"/>
  <c r="BI9" i="1" s="1"/>
  <c r="BB9" i="1"/>
  <c r="BA9" i="1"/>
  <c r="AZ9" i="1"/>
  <c r="BI8" i="1"/>
  <c r="BH8" i="1"/>
  <c r="BB8" i="1"/>
  <c r="BA8" i="1"/>
  <c r="AZ8" i="1"/>
  <c r="BF8" i="1" s="1"/>
  <c r="BC8" i="1" s="1"/>
  <c r="BH7" i="1"/>
  <c r="BI7" i="1" s="1"/>
  <c r="BB7" i="1"/>
  <c r="BF7" i="1" s="1"/>
  <c r="BC7" i="1" s="1"/>
  <c r="BA7" i="1"/>
  <c r="AZ7" i="1"/>
  <c r="BI6" i="1"/>
  <c r="BH6" i="1"/>
  <c r="BF6" i="1"/>
  <c r="BC6" i="1" s="1"/>
  <c r="BB6" i="1"/>
  <c r="BA6" i="1"/>
  <c r="AZ6" i="1"/>
  <c r="BH5" i="1"/>
  <c r="BI5" i="1" s="1"/>
  <c r="BB5" i="1"/>
  <c r="BA5" i="1"/>
  <c r="AZ5" i="1"/>
  <c r="BF5" i="1" s="1"/>
  <c r="BC5" i="1" s="1"/>
  <c r="BI4" i="1"/>
  <c r="BH4" i="1"/>
  <c r="BB4" i="1"/>
  <c r="BA4" i="1"/>
  <c r="AZ4" i="1"/>
  <c r="BH3" i="1"/>
  <c r="BI3" i="1" s="1"/>
  <c r="BB3" i="1"/>
  <c r="BA3" i="1"/>
  <c r="AZ3" i="1"/>
  <c r="BI2" i="1"/>
  <c r="BH2" i="1"/>
  <c r="BB2" i="1"/>
  <c r="BA2" i="1"/>
  <c r="AZ2" i="1"/>
  <c r="BF2" i="1" s="1"/>
  <c r="BC2" i="1" s="1"/>
  <c r="BF26" i="1" l="1"/>
  <c r="BC26" i="1" s="1"/>
  <c r="BF22" i="1"/>
  <c r="BC22" i="1" s="1"/>
  <c r="BF25" i="1"/>
  <c r="BC25" i="1" s="1"/>
  <c r="BF9" i="1"/>
  <c r="BC9" i="1" s="1"/>
  <c r="BF3" i="1"/>
  <c r="BC3" i="1" s="1"/>
  <c r="BF4" i="1"/>
  <c r="BC4" i="1" s="1"/>
</calcChain>
</file>

<file path=xl/comments1.xml><?xml version="1.0" encoding="utf-8"?>
<comments xmlns="http://schemas.openxmlformats.org/spreadsheetml/2006/main">
  <authors>
    <author>sci exim6</author>
    <author>SCI-PC118</author>
  </authors>
  <commentList>
    <comment ref="Y1" authorId="0">
      <text>
        <r>
          <rPr>
            <b/>
            <sz val="9"/>
            <rFont val="Tahoma"/>
            <charset val="134"/>
          </rPr>
          <t>sci exim6:</t>
        </r>
        <r>
          <rPr>
            <sz val="9"/>
            <rFont val="Tahoma"/>
            <charset val="134"/>
          </rPr>
          <t xml:space="preserve">
TGL GTN</t>
        </r>
      </text>
    </comment>
    <comment ref="AZ1" authorId="1">
      <text>
        <r>
          <rPr>
            <b/>
            <sz val="9"/>
            <rFont val="Tahoma"/>
            <charset val="134"/>
          </rPr>
          <t>NOTE :
DON’T DELETE</t>
        </r>
        <r>
          <rPr>
            <sz val="9"/>
            <rFont val="Tahoma"/>
            <charset val="1"/>
          </rPr>
          <t xml:space="preserve">
</t>
        </r>
      </text>
    </comment>
    <comment ref="BA1" authorId="1">
      <text>
        <r>
          <rPr>
            <b/>
            <sz val="9"/>
            <rFont val="Tahoma"/>
            <charset val="134"/>
          </rPr>
          <t>NOTE :</t>
        </r>
        <r>
          <rPr>
            <sz val="9"/>
            <rFont val="Tahoma"/>
            <charset val="134"/>
          </rPr>
          <t xml:space="preserve">
DON’T DELETE</t>
        </r>
      </text>
    </comment>
    <comment ref="BB1" authorId="1">
      <text>
        <r>
          <rPr>
            <b/>
            <sz val="9"/>
            <rFont val="Tahoma"/>
            <charset val="134"/>
          </rPr>
          <t>NOTE :</t>
        </r>
        <r>
          <rPr>
            <sz val="9"/>
            <rFont val="Tahoma"/>
            <charset val="134"/>
          </rPr>
          <t xml:space="preserve">
DON’T DELETE</t>
        </r>
      </text>
    </comment>
    <comment ref="BC1" authorId="1">
      <text>
        <r>
          <rPr>
            <b/>
            <sz val="9"/>
            <rFont val="Tahoma"/>
            <charset val="134"/>
          </rPr>
          <t>NOTE :</t>
        </r>
        <r>
          <rPr>
            <sz val="9"/>
            <rFont val="Tahoma"/>
            <charset val="134"/>
          </rPr>
          <t xml:space="preserve">
DON’T DELETE</t>
        </r>
      </text>
    </comment>
    <comment ref="BF1" authorId="1">
      <text>
        <r>
          <rPr>
            <b/>
            <sz val="9"/>
            <rFont val="Tahoma"/>
            <charset val="134"/>
          </rPr>
          <t>NOTE :</t>
        </r>
        <r>
          <rPr>
            <sz val="9"/>
            <rFont val="Tahoma"/>
            <charset val="134"/>
          </rPr>
          <t xml:space="preserve">
DON’T DELETE</t>
        </r>
      </text>
    </comment>
    <comment ref="BH1" authorId="1">
      <text>
        <r>
          <rPr>
            <b/>
            <sz val="9"/>
            <rFont val="Tahoma"/>
            <charset val="134"/>
          </rPr>
          <t>NOTE :</t>
        </r>
        <r>
          <rPr>
            <sz val="9"/>
            <rFont val="Tahoma"/>
            <charset val="134"/>
          </rPr>
          <t xml:space="preserve">
DON’T DELETE</t>
        </r>
      </text>
    </comment>
  </commentList>
</comments>
</file>

<file path=xl/sharedStrings.xml><?xml version="1.0" encoding="utf-8"?>
<sst xmlns="http://schemas.openxmlformats.org/spreadsheetml/2006/main" count="966" uniqueCount="406">
  <si>
    <t>TL#</t>
  </si>
  <si>
    <t>Factory Inv#</t>
  </si>
  <si>
    <t>CI#</t>
  </si>
  <si>
    <t>EXII-FTY</t>
  </si>
  <si>
    <t>PO#</t>
  </si>
  <si>
    <t>LotCode</t>
  </si>
  <si>
    <t>Order type</t>
  </si>
  <si>
    <t>MOT</t>
  </si>
  <si>
    <t>ProductNO</t>
  </si>
  <si>
    <t>EnglishName</t>
  </si>
  <si>
    <t>Issue Date</t>
  </si>
  <si>
    <t>Branch Plant</t>
  </si>
  <si>
    <t>Customer Country</t>
  </si>
  <si>
    <t>Region</t>
  </si>
  <si>
    <t>Ship Destination</t>
  </si>
  <si>
    <t>VA Instructions</t>
  </si>
  <si>
    <t>CTN</t>
  </si>
  <si>
    <t>PAIRS</t>
  </si>
  <si>
    <t>CBM</t>
  </si>
  <si>
    <t>N.W</t>
  </si>
  <si>
    <t>G.W</t>
  </si>
  <si>
    <t>Crocs Price</t>
  </si>
  <si>
    <t>VA</t>
  </si>
  <si>
    <t>Labor Cost</t>
  </si>
  <si>
    <t>TE Price</t>
  </si>
  <si>
    <t>Trillion AMOUNT</t>
  </si>
  <si>
    <t>SCI Amount</t>
  </si>
  <si>
    <t>PO GTN</t>
  </si>
  <si>
    <t>Price GTN</t>
  </si>
  <si>
    <t>VA GTN</t>
  </si>
  <si>
    <t>CONSOLE</t>
  </si>
  <si>
    <t>PSD</t>
  </si>
  <si>
    <t>TC ORDER</t>
  </si>
  <si>
    <t>FWDR</t>
  </si>
  <si>
    <t>Booking No / SO No.</t>
  </si>
  <si>
    <t>Vsl/Voy
/Flight</t>
  </si>
  <si>
    <t>ETD
Origin</t>
  </si>
  <si>
    <t>ETA 
Dest</t>
  </si>
  <si>
    <t>FCL/LCL
/CFS/Air/EXIIpress</t>
  </si>
  <si>
    <t>Detail Cntainer no./Seal/truck no</t>
  </si>
  <si>
    <t>Ctnr type/Truck type</t>
  </si>
  <si>
    <t>Jenis BC</t>
  </si>
  <si>
    <t>NO PEN PEB</t>
  </si>
  <si>
    <t>PEB DATE</t>
  </si>
  <si>
    <t>NO AJU PEB</t>
  </si>
  <si>
    <t>Customer Name</t>
  </si>
  <si>
    <t>PEB Amount</t>
  </si>
  <si>
    <t>Code Country</t>
  </si>
  <si>
    <t>Code TL</t>
  </si>
  <si>
    <t>Ship By</t>
  </si>
  <si>
    <t>POD</t>
  </si>
  <si>
    <t>Kolom Bantu POD</t>
  </si>
  <si>
    <t>HS PRINTED</t>
  </si>
  <si>
    <t>HS NUMBER</t>
  </si>
  <si>
    <t>YFPT</t>
  </si>
  <si>
    <t>Ocean</t>
  </si>
  <si>
    <t>Asia</t>
  </si>
  <si>
    <t>213947-2CZ</t>
  </si>
  <si>
    <t>CLASSIC SOCCER TURF CLOG K TGR</t>
  </si>
  <si>
    <t>203591-10M</t>
  </si>
  <si>
    <t>CLASSIC LINED CLOG WHI/GRY</t>
  </si>
  <si>
    <t>213945-2Y2</t>
  </si>
  <si>
    <t>CLASSIC BASKETBALL COURT CLG K BONE</t>
  </si>
  <si>
    <t>REPL</t>
  </si>
  <si>
    <t>205089-3TQ</t>
  </si>
  <si>
    <t>BAYABAND CLOG AGR/COB</t>
  </si>
  <si>
    <t>10126-100</t>
  </si>
  <si>
    <t>BAYA WHI</t>
  </si>
  <si>
    <t>209587-001</t>
  </si>
  <si>
    <t>GETAWAY STRAPPY BLK</t>
  </si>
  <si>
    <t>YFTP</t>
  </si>
  <si>
    <t>Customer Pickup</t>
  </si>
  <si>
    <t>Europe</t>
  </si>
  <si>
    <t>207006-001</t>
  </si>
  <si>
    <t>CROCBAND CLOG K BLK</t>
  </si>
  <si>
    <t>212775-2MD</t>
  </si>
  <si>
    <t>CROCBAND GUM CLOG K SMWT</t>
  </si>
  <si>
    <t>212775-001</t>
  </si>
  <si>
    <t>CROCBAND GUM CLOG K BLK</t>
  </si>
  <si>
    <t>CFS-EU-223</t>
  </si>
  <si>
    <t>CFS-EU-224</t>
  </si>
  <si>
    <t>CFS-EU-225</t>
  </si>
  <si>
    <t>CFS-IN-031</t>
  </si>
  <si>
    <t>CFS-US-228 B</t>
  </si>
  <si>
    <t>CFS-US-228 C</t>
  </si>
  <si>
    <t>CFS-EU-222</t>
  </si>
  <si>
    <t>CFS-JP-029</t>
  </si>
  <si>
    <t>CFS-US-251</t>
  </si>
  <si>
    <t>CY-US-227</t>
  </si>
  <si>
    <t>CY-US-229</t>
  </si>
  <si>
    <t>CY-US-230</t>
  </si>
  <si>
    <t>CY-US-232</t>
  </si>
  <si>
    <t>CY-US-231</t>
  </si>
  <si>
    <t>CFS-CP-PE-009</t>
  </si>
  <si>
    <t>CFS-MY-014</t>
  </si>
  <si>
    <t>CY-CN-046</t>
  </si>
  <si>
    <t>CY-EU-227</t>
  </si>
  <si>
    <t>CY-EU-229</t>
  </si>
  <si>
    <t>CY-US-223</t>
  </si>
  <si>
    <t>CY-US-224</t>
  </si>
  <si>
    <t>CY-US-225</t>
  </si>
  <si>
    <t>CFS-CP-BH-003</t>
  </si>
  <si>
    <t>CY-EU-226</t>
  </si>
  <si>
    <t>CFS-BR-032</t>
  </si>
  <si>
    <t>CFS-CN-047</t>
  </si>
  <si>
    <t>CFS-KR-050</t>
  </si>
  <si>
    <t>CY-BR-033</t>
  </si>
  <si>
    <t>CY-BR-034</t>
  </si>
  <si>
    <t>CY-BR-035</t>
  </si>
  <si>
    <t>CY-EU-230</t>
  </si>
  <si>
    <t>CY-CP-PA-005</t>
  </si>
  <si>
    <t>CY-US-226</t>
  </si>
  <si>
    <t>CY-US-238</t>
  </si>
  <si>
    <t>CFS-CA-022</t>
  </si>
  <si>
    <t>CY-MY-013</t>
  </si>
  <si>
    <t>CY-EU-228</t>
  </si>
  <si>
    <t>CFS-EU-232</t>
  </si>
  <si>
    <t>CFS-EU-233</t>
  </si>
  <si>
    <t>CFS-EU-234</t>
  </si>
  <si>
    <t>CFS-EU-236</t>
  </si>
  <si>
    <t>CFS-US-239</t>
  </si>
  <si>
    <t>CFS-IN-032</t>
  </si>
  <si>
    <t>CY-US-241</t>
  </si>
  <si>
    <t>CY-US-245</t>
  </si>
  <si>
    <t>CY-US-247</t>
  </si>
  <si>
    <t>CFS-CP-NZ-005</t>
  </si>
  <si>
    <t>CY-US-242</t>
  </si>
  <si>
    <t>CY-US-243</t>
  </si>
  <si>
    <t>CY-US-244</t>
  </si>
  <si>
    <t>CY-US-246</t>
  </si>
  <si>
    <t>CY-US-248</t>
  </si>
  <si>
    <t>CFS-AU-038</t>
  </si>
  <si>
    <t>CFS-CP-CNHK-006</t>
  </si>
  <si>
    <t>CFS-CP-CH-003</t>
  </si>
  <si>
    <t>CY-US-240</t>
  </si>
  <si>
    <t>CFS-US-249</t>
  </si>
  <si>
    <t>CFS-AU-037</t>
  </si>
  <si>
    <t>CFS-AU-039</t>
  </si>
  <si>
    <t>CFS-BR-036</t>
  </si>
  <si>
    <t>CFS-CP-DO-004</t>
  </si>
  <si>
    <t>CFS-CP-TW-003</t>
  </si>
  <si>
    <t>CY-CP-TH-005</t>
  </si>
  <si>
    <t>CY-US-233</t>
  </si>
  <si>
    <t>CY-US-234</t>
  </si>
  <si>
    <t>CY-US-235</t>
  </si>
  <si>
    <t>CY-US-236</t>
  </si>
  <si>
    <t>CY-US-237</t>
  </si>
  <si>
    <t>CFS-CP-BH-004</t>
  </si>
  <si>
    <t>CFS-EU-239</t>
  </si>
  <si>
    <t>CFS-KR-052</t>
  </si>
  <si>
    <t>CY-KR-048</t>
  </si>
  <si>
    <t>CY-KR-049</t>
  </si>
  <si>
    <t>CY-US-252</t>
  </si>
  <si>
    <t>CY-US-253</t>
  </si>
  <si>
    <t>SCSICSB260178</t>
  </si>
  <si>
    <t>TESICSB260178</t>
  </si>
  <si>
    <t>4502916833</t>
  </si>
  <si>
    <t>RI07T532(RE)</t>
  </si>
  <si>
    <t>205089-066</t>
  </si>
  <si>
    <t>BAYABAND CLOG BLK/WHI</t>
  </si>
  <si>
    <t>China</t>
  </si>
  <si>
    <t>SHENYANG BRILLIANT INVESTMENT MGT C
_x000D_黑龙江省哈尔滨市香坊区靠河路 69-10号
_x000D_黑龙江省易匠木业有限公司
_x000D_HARBIN CITY
_x000D_000000
_x000D_CHINA</t>
  </si>
  <si>
    <t>J8</t>
  </si>
  <si>
    <t>4502918364</t>
  </si>
  <si>
    <t>RI07T535(RE)</t>
  </si>
  <si>
    <t>212776-2MD</t>
  </si>
  <si>
    <t>CROCBAND GUM CLOG T SMWT</t>
  </si>
  <si>
    <t>XI'AN GUIMING COMMERCIAL AND TRADIN
_x000D_西安市新城区韩森东路天马
_x000D_小区对面秦川厂北门内
_x000D_XI'AN CITY
_x000D_000000
_x000D_CHINA</t>
  </si>
  <si>
    <t>4502918366</t>
  </si>
  <si>
    <t>RI07T533(RE)</t>
  </si>
  <si>
    <t>CHONGQING WEIGE TRADING CO., LTD
_x000D_重庆市渝北区金开大道1006号同舟世纪苑第A2、A9、A10
_x000D_CHONGQING
_x000D_000000
_x000D_CHINA
_x000D_Phone: 18602316325</t>
  </si>
  <si>
    <t>4502918368</t>
  </si>
  <si>
    <t>RI07T534(RE)</t>
  </si>
  <si>
    <t>SCSICSB260179</t>
  </si>
  <si>
    <t>TESICSB260179</t>
  </si>
  <si>
    <t>4502984404</t>
  </si>
  <si>
    <t>RI07T2082(RE)</t>
  </si>
  <si>
    <t>10126-4JQ</t>
  </si>
  <si>
    <t>BAYA MNBL</t>
  </si>
  <si>
    <t>Crocs Trading Shanghai Retail
_x000D_Song Jiang District,
_x000D_2672 Shen Gang Road, Xin Qiao Town,
_x000D_Shanghai, P.R. China
_x000D_201612
_x000D_CHINA</t>
  </si>
  <si>
    <t>4502984405</t>
  </si>
  <si>
    <t>RI07T2078(RE)</t>
  </si>
  <si>
    <t>10126-5AF</t>
  </si>
  <si>
    <t>BAYA DSP</t>
  </si>
  <si>
    <t>4502984409</t>
  </si>
  <si>
    <t>RI07T2079(RE)</t>
  </si>
  <si>
    <t>205089-4JQ</t>
  </si>
  <si>
    <t>BAYABAND CLOG MNBL</t>
  </si>
  <si>
    <t>4502984788</t>
  </si>
  <si>
    <t>RI07T2138(RE)</t>
  </si>
  <si>
    <t>206935-6PS</t>
  </si>
  <si>
    <t>BAYA MARBLED CLOG BAP/MLTI</t>
  </si>
  <si>
    <t>CFS-CP-CL-001</t>
  </si>
  <si>
    <t>SCSICST260976</t>
  </si>
  <si>
    <t>TESICST260976</t>
  </si>
  <si>
    <t>4502937733</t>
  </si>
  <si>
    <t>RI08T1001(RE)</t>
  </si>
  <si>
    <t>10126-3TD</t>
  </si>
  <si>
    <t>BAYA DGR</t>
  </si>
  <si>
    <t>Chile</t>
  </si>
  <si>
    <t>Forus S.A.
_x000D_Camino Melipilla #9400 Maipú
_x000D_Santiago
_x000D_9260042
_x000D_CL
_x000D_Email: noelia.carvajal@forus.cl</t>
  </si>
  <si>
    <t>0L</t>
  </si>
  <si>
    <t>4502937734</t>
  </si>
  <si>
    <t>RI08T1002(RE)</t>
  </si>
  <si>
    <t>4502937735</t>
  </si>
  <si>
    <t>RI08T1005(RE)</t>
  </si>
  <si>
    <t>205089-4CC</t>
  </si>
  <si>
    <t>BAYABAND CLOG NVY/PPR</t>
  </si>
  <si>
    <t>4502937736</t>
  </si>
  <si>
    <t>RI08T905(RE)</t>
  </si>
  <si>
    <t>4502937793</t>
  </si>
  <si>
    <t>RI08T911(RE)</t>
  </si>
  <si>
    <t>205089-6TG</t>
  </si>
  <si>
    <t>BAYABAND CLOG BPK/CPK</t>
  </si>
  <si>
    <t>4502975782</t>
  </si>
  <si>
    <t>RI08T1383(RE)</t>
  </si>
  <si>
    <t>10126-001</t>
  </si>
  <si>
    <t>BAYA BLK</t>
  </si>
  <si>
    <t>SCSICST260977</t>
  </si>
  <si>
    <t>TESICST260977</t>
  </si>
  <si>
    <t>4502900051</t>
  </si>
  <si>
    <t>RI07T279(RE)</t>
  </si>
  <si>
    <t>USA</t>
  </si>
  <si>
    <t>BOOLCHANDS STT
_x000D_CROWLEY LOGISTICS INC
_x000D_C/O HAPPY FEET STT BOOLCHANDS STT
_x000D_MEDLEY
_x000D_FL
_x000D_33178
_x000D_US</t>
  </si>
  <si>
    <t>NO</t>
  </si>
  <si>
    <t>4502900052</t>
  </si>
  <si>
    <t>RI07T287(RE)</t>
  </si>
  <si>
    <t>213968-7ES</t>
  </si>
  <si>
    <t>CLSC GLOW MONSTER CAMO CLOG T GLT</t>
  </si>
  <si>
    <t>4502900061</t>
  </si>
  <si>
    <t>RI07T281(RE)</t>
  </si>
  <si>
    <t>209424-4OT</t>
  </si>
  <si>
    <t>CROCBAND CRUISER SANDAL T NV/VR</t>
  </si>
  <si>
    <t>4502900062</t>
  </si>
  <si>
    <t>RI07T284(RE)</t>
  </si>
  <si>
    <t>209424-84I</t>
  </si>
  <si>
    <t>CROCBAND CRUISER SANDAL T BAL/LV</t>
  </si>
  <si>
    <t>4502900112</t>
  </si>
  <si>
    <t>RI07T337(RE)</t>
  </si>
  <si>
    <t>4502900113</t>
  </si>
  <si>
    <t>RI07T351(RE)</t>
  </si>
  <si>
    <t>4502900162</t>
  </si>
  <si>
    <t>RI07T385(RE)</t>
  </si>
  <si>
    <t>4502900163</t>
  </si>
  <si>
    <t>RI07T387(RE)</t>
  </si>
  <si>
    <t>CFS-CP-VN-001</t>
  </si>
  <si>
    <t>SCSICST260978</t>
  </si>
  <si>
    <t>TESICST260978</t>
  </si>
  <si>
    <t>4502945844</t>
  </si>
  <si>
    <t>RI08T1054(RE)</t>
  </si>
  <si>
    <t>207627-410</t>
  </si>
  <si>
    <t>BAYA SANDAL NAVY</t>
  </si>
  <si>
    <t>Vietnam</t>
  </si>
  <si>
    <t>GTF
_x000D_163 PHAN DANG LUU STREET
_x000D_CAU KIEU WARD
_x000D_HO CHI MINH CITY
_x000D_70000
_x000D_VN
_x000D_Email: shenzhenshipping@crocs.com</t>
  </si>
  <si>
    <t>CY-EU-270</t>
  </si>
  <si>
    <t>SCSICST260979</t>
  </si>
  <si>
    <t>TESICST260979</t>
  </si>
  <si>
    <t>4502967064</t>
  </si>
  <si>
    <t>RI08T1212(RE)</t>
  </si>
  <si>
    <t>YFPE</t>
  </si>
  <si>
    <t>Italy</t>
  </si>
  <si>
    <t>LT&amp;C
_x000D_VIA FRA’ FILIPPO LONGO SNC
_x000D_MAGIONE, PG
_x000D_06064
_x000D_IT</t>
  </si>
  <si>
    <t>O0</t>
  </si>
  <si>
    <t>4502967065</t>
  </si>
  <si>
    <t>RI08T1223(RE)</t>
  </si>
  <si>
    <t>10126-0LF</t>
  </si>
  <si>
    <t>BAYA TFL</t>
  </si>
  <si>
    <t>4502967066</t>
  </si>
  <si>
    <t>RI08T1221(RE)</t>
  </si>
  <si>
    <t>4502967067</t>
  </si>
  <si>
    <t>RI08T1237(RE)</t>
  </si>
  <si>
    <t>10126-309</t>
  </si>
  <si>
    <t>BAYA AGR</t>
  </si>
  <si>
    <t>4502967070</t>
  </si>
  <si>
    <t>RI08T1208(RE)</t>
  </si>
  <si>
    <t>4502967071</t>
  </si>
  <si>
    <t>RI08T1215(RE)</t>
  </si>
  <si>
    <t>4502967075</t>
  </si>
  <si>
    <t>RI08T1243(RE)</t>
  </si>
  <si>
    <t>206935-066</t>
  </si>
  <si>
    <t>BAYA MARBLED CLOG BLK/WHI</t>
  </si>
  <si>
    <t>4502967077</t>
  </si>
  <si>
    <t>RI08T1230(RE)</t>
  </si>
  <si>
    <t>212333-066</t>
  </si>
  <si>
    <t>BAYABAND SPORT CLOG BLK/WHI</t>
  </si>
  <si>
    <t>4502967078</t>
  </si>
  <si>
    <t>RI08T1228(RE)</t>
  </si>
  <si>
    <t>212333-27J</t>
  </si>
  <si>
    <t>BAYABAND SPORT CLOG CHAI/STU</t>
  </si>
  <si>
    <t>4502967079</t>
  </si>
  <si>
    <t>RI08T1245(RE)</t>
  </si>
  <si>
    <t>212333-41S</t>
  </si>
  <si>
    <t>BAYABAND SPORT CLOG NAVY/LGR</t>
  </si>
  <si>
    <t>4502967080</t>
  </si>
  <si>
    <t>RI08T1232(RE)</t>
  </si>
  <si>
    <t>212333-6PI</t>
  </si>
  <si>
    <t>BAYABAND SPORT CLOG BAP</t>
  </si>
  <si>
    <t>4502967081</t>
  </si>
  <si>
    <t>RI08T1244(RE)</t>
  </si>
  <si>
    <t>11016-001</t>
  </si>
  <si>
    <t>CROCBAND BLK</t>
  </si>
  <si>
    <t>4502967082</t>
  </si>
  <si>
    <t>RI08T1242(RE)</t>
  </si>
  <si>
    <t>11016-3BX</t>
  </si>
  <si>
    <t>CROCBAND CRG</t>
  </si>
  <si>
    <t>4502967083</t>
  </si>
  <si>
    <t>RI08T1233(RE)</t>
  </si>
  <si>
    <t>11016-6UR</t>
  </si>
  <si>
    <t>CROCBAND QAQ</t>
  </si>
  <si>
    <t>4502967087</t>
  </si>
  <si>
    <t>RI08T1249(RE)</t>
  </si>
  <si>
    <t>206990-410</t>
  </si>
  <si>
    <t>CLASSIC CLOG T NAVY</t>
  </si>
  <si>
    <t>4502967088</t>
  </si>
  <si>
    <t>RI08T1246(RE)</t>
  </si>
  <si>
    <t>206991-5DU</t>
  </si>
  <si>
    <t>CLASSIC CLOG K ELB</t>
  </si>
  <si>
    <t>CY-US-323</t>
  </si>
  <si>
    <t>SCSICST260980</t>
  </si>
  <si>
    <t>TESICST260980</t>
  </si>
  <si>
    <t>4502956272</t>
  </si>
  <si>
    <t>RI06T1765(RE)</t>
  </si>
  <si>
    <t>Expedited Ocean</t>
  </si>
  <si>
    <t>Americas</t>
  </si>
  <si>
    <t>Crocs US
_x000D_10391 Dog Leg Rd.
_x000D_Dayton
_x000D_OH
_x000D_45377
_x000D_US</t>
  </si>
  <si>
    <t>4502956888</t>
  </si>
  <si>
    <t>RI06T1798(RE)</t>
  </si>
  <si>
    <t>4502975366</t>
  </si>
  <si>
    <t>RI07T1873(RE)</t>
  </si>
  <si>
    <t>211879-0DD</t>
  </si>
  <si>
    <t>CLASSIC CAMOUFLAGE CLOG K BLK/SGY</t>
  </si>
  <si>
    <t>CY-US-324</t>
  </si>
  <si>
    <t>SCSICST260981</t>
  </si>
  <si>
    <t>TESICST260981</t>
  </si>
  <si>
    <t>4502956273</t>
  </si>
  <si>
    <t>RI06T1760(RE)</t>
  </si>
  <si>
    <t>203591-1FT</t>
  </si>
  <si>
    <t>CLASSIC LINED CLOG ATM</t>
  </si>
  <si>
    <t>4502958282</t>
  </si>
  <si>
    <t>RI06T1849(RE)</t>
  </si>
  <si>
    <t>CY-US-325</t>
  </si>
  <si>
    <t>SCSICST260982</t>
  </si>
  <si>
    <t>TESICST260982</t>
  </si>
  <si>
    <t>4502958283</t>
  </si>
  <si>
    <t>RI06T1857(RE)</t>
  </si>
  <si>
    <t>203591-459</t>
  </si>
  <si>
    <t>CLASSIC LINED CLOG NAVY/CHAR</t>
  </si>
  <si>
    <t>4502959699</t>
  </si>
  <si>
    <t>RI07T924(RE)</t>
  </si>
  <si>
    <t>213930-0PZ</t>
  </si>
  <si>
    <t>CLASSIC POP ANIMAL CLOG K CHKMLT</t>
  </si>
  <si>
    <t>4502960711</t>
  </si>
  <si>
    <t>RI07T934(RE)</t>
  </si>
  <si>
    <t>203591-060</t>
  </si>
  <si>
    <t>CLASSIC LINED CLOG BLK/BLK</t>
  </si>
  <si>
    <t>SHOE CARNIVAL 098 DC
_x000D_14701 North Highway 57
_x000D_Evansville
_x000D_IN
_x000D_47725
_x000D_US</t>
  </si>
  <si>
    <t>8X,Z0</t>
  </si>
  <si>
    <t>4502960712</t>
  </si>
  <si>
    <t>RI07T935(RE)</t>
  </si>
  <si>
    <t>8X,Z0,Z1</t>
  </si>
  <si>
    <t>CY-US-339</t>
  </si>
  <si>
    <t>SCSICST260983</t>
  </si>
  <si>
    <t>TESICST260983</t>
  </si>
  <si>
    <t>4502980972</t>
  </si>
  <si>
    <t>RI07T1996(RE)</t>
  </si>
  <si>
    <t>4502980977</t>
  </si>
  <si>
    <t>RI07T1999(RE)</t>
  </si>
  <si>
    <t>11016-4XQ</t>
  </si>
  <si>
    <t>CROCBAND BFR/GUA</t>
  </si>
  <si>
    <t>4502982352</t>
  </si>
  <si>
    <t>RI07T2037(RE)</t>
  </si>
  <si>
    <t>4502982684</t>
  </si>
  <si>
    <t>RI07T2050(RE)</t>
  </si>
  <si>
    <t>206990-001</t>
  </si>
  <si>
    <t>CLASSIC CLOG T BLK</t>
  </si>
  <si>
    <t>CY-US-340</t>
  </si>
  <si>
    <t>SCSICST260984</t>
  </si>
  <si>
    <t>TESICST260984</t>
  </si>
  <si>
    <t>4502980994</t>
  </si>
  <si>
    <t>RI07T1998(RE)</t>
  </si>
  <si>
    <t>4502980500</t>
  </si>
  <si>
    <t>RI07T1968(RE)</t>
  </si>
  <si>
    <t>4502980619</t>
  </si>
  <si>
    <t>RI07T1976(RE)</t>
  </si>
  <si>
    <t>4502980995</t>
  </si>
  <si>
    <t>RI07T1995(RE)</t>
  </si>
  <si>
    <t>207006-485</t>
  </si>
  <si>
    <t>CROCBAND CLOG K NAVY/RED</t>
  </si>
  <si>
    <t>4502982351</t>
  </si>
  <si>
    <t>RI07T2038(RE)</t>
  </si>
  <si>
    <t>4502981976</t>
  </si>
  <si>
    <t>RI07T2029(RE)</t>
  </si>
  <si>
    <t>4502982712</t>
  </si>
  <si>
    <t>RI07T2053(RE)</t>
  </si>
  <si>
    <t>4502982080</t>
  </si>
  <si>
    <t>RI07T2030</t>
  </si>
  <si>
    <t>210345-90H</t>
  </si>
  <si>
    <t>REALTREE MAX7 CLS CLG MLT</t>
  </si>
  <si>
    <t>4502981947</t>
  </si>
  <si>
    <t>RI07T2027(RE)</t>
  </si>
  <si>
    <t>4502980973</t>
  </si>
  <si>
    <t>RI07T1994(RE)</t>
  </si>
  <si>
    <t>11016-0Z3</t>
  </si>
  <si>
    <t>CROCBAND CON</t>
  </si>
  <si>
    <t>CFS-CN-005</t>
  </si>
  <si>
    <t>CFS-CP-US-314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</si>
</sst>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7" formatCode="_(&quot;$&quot;* #,##0.0000_);_(&quot;$&quot;* \(#,##0.0000\);_(&quot;$&quot;* &quot;-&quot;??_);_(@_)"/>
    <numFmt numFmtId="168" formatCode="[$$-1009]#,##0.00"/>
    <numFmt numFmtId="169" formatCode="[$-409]d/mmm;@"/>
    <numFmt numFmtId="170" formatCode="_ * #,##0.00_ ;_ * \-#,##0.00_ ;_ * &quot;-&quot;??_ ;_ @_ "/>
    <numFmt numFmtId="171" formatCode="#,##0.000"/>
    <numFmt numFmtId="172" formatCode="[$-409]mmm/yy;@"/>
    <numFmt numFmtId="173" formatCode="_(&quot;$&quot;* #,##0.00_);_(&quot;$&quot;* \(#,##0.00\);_(&quot;$&quot;* &quot;-&quot;??_);_(@_)"/>
    <numFmt numFmtId="174" formatCode="_ * #,##0_ ;_ * \-#,##0_ ;_ * &quot;-&quot;_ ;_ @_ "/>
    <numFmt numFmtId="175" formatCode="yyyy/mm/dd;@"/>
    <numFmt numFmtId="176" formatCode="_(&quot;$&quot;* #,##0.00_);_(&quot;$&quot;* \(#,##0.00\);_(&quot;$&quot;* &quot;-&quot;??.0_);_(@_)"/>
    <numFmt numFmtId="177" formatCode="0.000_ "/>
    <numFmt numFmtId="178" formatCode="_-[$$-475]* #,##0.00_-;\-[$$-475]* #,##0.00_-;_-[$$-475]* &quot;-&quot;??_-;_-@_-"/>
    <numFmt numFmtId="179" formatCode="[$-409]dd/mmm/yy;@"/>
    <numFmt numFmtId="180" formatCode="[$-409]d\-mmm\-yy;@"/>
    <numFmt numFmtId="181" formatCode="_(* #,##0_);_(* \(#,##0\);_(* &quot;-&quot;??_);_(@_)"/>
  </numFmts>
  <fonts count="17">
    <font>
      <sz val="11"/>
      <color theme="1"/>
      <name val="Calibri"/>
      <charset val="134"/>
      <scheme val="minor"/>
    </font>
    <font>
      <b/>
      <sz val="12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2"/>
      <name val="宋体"/>
      <charset val="134"/>
    </font>
    <font>
      <sz val="10"/>
      <name val="Arial"/>
      <charset val="134"/>
    </font>
    <font>
      <b/>
      <sz val="15"/>
      <color indexed="62"/>
      <name val="宋体"/>
      <charset val="134"/>
    </font>
    <font>
      <sz val="10"/>
      <color rgb="FF000000"/>
      <name val="Arial"/>
      <charset val="134"/>
    </font>
    <font>
      <u/>
      <sz val="10.8"/>
      <color indexed="12"/>
      <name val="宋体"/>
      <charset val="134"/>
    </font>
    <font>
      <sz val="10"/>
      <name val="Helv"/>
      <charset val="134"/>
    </font>
    <font>
      <sz val="9"/>
      <name val="Tahoma"/>
      <charset val="1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340800195318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3408001953185"/>
        <bgColor theme="4" tint="0.799340800195318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4"/>
      </bottom>
      <diagonal/>
    </border>
  </borders>
  <cellStyleXfs count="71">
    <xf numFmtId="0" fontId="0" fillId="0" borderId="0"/>
    <xf numFmtId="165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70" fontId="16" fillId="0" borderId="0" applyFont="0" applyFill="0" applyBorder="0" applyAlignment="0" applyProtection="0">
      <alignment vertical="center"/>
    </xf>
    <xf numFmtId="0" fontId="16" fillId="0" borderId="0"/>
    <xf numFmtId="165" fontId="16" fillId="0" borderId="0" applyFont="0" applyFill="0" applyBorder="0" applyAlignment="0" applyProtection="0"/>
    <xf numFmtId="0" fontId="7" fillId="0" borderId="0">
      <alignment vertical="center"/>
    </xf>
    <xf numFmtId="169" fontId="7" fillId="0" borderId="0">
      <alignment vertical="center"/>
    </xf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0" fontId="16" fillId="0" borderId="0" applyFont="0" applyFill="0" applyBorder="0" applyAlignment="0" applyProtection="0">
      <alignment vertical="center"/>
    </xf>
    <xf numFmtId="174" fontId="1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70" fontId="1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70" fontId="16" fillId="0" borderId="0" applyFont="0" applyFill="0" applyBorder="0" applyAlignment="0" applyProtection="0">
      <alignment vertical="center"/>
    </xf>
    <xf numFmtId="170" fontId="16" fillId="0" borderId="0" applyFont="0" applyFill="0" applyBorder="0" applyAlignment="0" applyProtection="0">
      <alignment vertical="center"/>
    </xf>
    <xf numFmtId="170" fontId="16" fillId="0" borderId="0" applyFont="0" applyFill="0" applyBorder="0" applyAlignment="0" applyProtection="0">
      <alignment vertical="center"/>
    </xf>
    <xf numFmtId="170" fontId="16" fillId="0" borderId="0" applyFont="0" applyFill="0" applyBorder="0" applyAlignment="0" applyProtection="0">
      <alignment vertical="center"/>
    </xf>
    <xf numFmtId="170" fontId="16" fillId="0" borderId="0" applyFont="0" applyFill="0" applyBorder="0" applyAlignment="0" applyProtection="0">
      <alignment vertical="center"/>
    </xf>
    <xf numFmtId="170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0" fontId="8" fillId="0" borderId="0"/>
    <xf numFmtId="168" fontId="9" fillId="0" borderId="5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69" fontId="16" fillId="0" borderId="0"/>
    <xf numFmtId="175" fontId="16" fillId="0" borderId="0">
      <alignment vertical="center"/>
    </xf>
    <xf numFmtId="0" fontId="16" fillId="0" borderId="0"/>
    <xf numFmtId="178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1" fontId="11" fillId="0" borderId="0"/>
    <xf numFmtId="0" fontId="16" fillId="0" borderId="0"/>
    <xf numFmtId="0" fontId="16" fillId="0" borderId="0"/>
    <xf numFmtId="0" fontId="16" fillId="0" borderId="0">
      <alignment vertical="center"/>
    </xf>
    <xf numFmtId="167" fontId="11" fillId="0" borderId="0"/>
    <xf numFmtId="0" fontId="12" fillId="0" borderId="0"/>
    <xf numFmtId="0" fontId="16" fillId="0" borderId="0"/>
  </cellStyleXfs>
  <cellXfs count="57">
    <xf numFmtId="0" fontId="0" fillId="0" borderId="0" xfId="0"/>
    <xf numFmtId="16" fontId="0" fillId="0" borderId="0" xfId="0" applyNumberFormat="1"/>
    <xf numFmtId="49" fontId="0" fillId="0" borderId="0" xfId="0" applyNumberFormat="1"/>
    <xf numFmtId="14" fontId="0" fillId="0" borderId="0" xfId="0" applyNumberFormat="1"/>
    <xf numFmtId="177" fontId="0" fillId="0" borderId="0" xfId="0" applyNumberFormat="1"/>
    <xf numFmtId="173" fontId="0" fillId="0" borderId="0" xfId="0" applyNumberFormat="1"/>
    <xf numFmtId="176" fontId="0" fillId="0" borderId="0" xfId="0" applyNumberFormat="1"/>
    <xf numFmtId="173" fontId="1" fillId="2" borderId="1" xfId="2" applyNumberFormat="1" applyFont="1" applyFill="1" applyBorder="1" applyAlignment="1" applyProtection="1">
      <alignment horizontal="center" vertical="center" wrapText="1"/>
    </xf>
    <xf numFmtId="173" fontId="1" fillId="2" borderId="0" xfId="2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49" fontId="1" fillId="3" borderId="2" xfId="0" applyNumberFormat="1" applyFont="1" applyFill="1" applyBorder="1" applyAlignment="1">
      <alignment horizontal="center" vertical="center" wrapText="1"/>
    </xf>
    <xf numFmtId="178" fontId="1" fillId="3" borderId="2" xfId="0" applyNumberFormat="1" applyFont="1" applyFill="1" applyBorder="1" applyAlignment="1">
      <alignment horizontal="center" vertical="center" wrapText="1"/>
    </xf>
    <xf numFmtId="179" fontId="1" fillId="3" borderId="3" xfId="0" applyNumberFormat="1" applyFont="1" applyFill="1" applyBorder="1" applyAlignment="1">
      <alignment horizontal="center" vertical="center" wrapText="1"/>
    </xf>
    <xf numFmtId="0" fontId="0" fillId="0" borderId="0" xfId="42" applyFont="1" applyFill="1" applyBorder="1" applyAlignment="1">
      <alignment vertical="center"/>
    </xf>
    <xf numFmtId="0" fontId="2" fillId="0" borderId="0" xfId="42" applyFont="1" applyFill="1" applyBorder="1" applyAlignment="1"/>
    <xf numFmtId="0" fontId="3" fillId="0" borderId="0" xfId="42" applyFont="1" applyFill="1" applyBorder="1" applyAlignment="1">
      <alignment horizontal="right" vertical="center"/>
    </xf>
    <xf numFmtId="16" fontId="0" fillId="0" borderId="0" xfId="42" applyNumberFormat="1" applyFont="1" applyFill="1" applyBorder="1" applyAlignment="1"/>
    <xf numFmtId="0" fontId="0" fillId="0" borderId="0" xfId="42" applyFont="1" applyFill="1" applyBorder="1" applyAlignment="1"/>
    <xf numFmtId="49" fontId="0" fillId="0" borderId="0" xfId="42" applyNumberFormat="1" applyFont="1" applyFill="1" applyBorder="1" applyAlignment="1"/>
    <xf numFmtId="14" fontId="0" fillId="0" borderId="0" xfId="42" applyNumberFormat="1" applyFont="1" applyFill="1" applyBorder="1" applyAlignment="1"/>
    <xf numFmtId="16" fontId="16" fillId="0" borderId="0" xfId="42" applyNumberFormat="1" applyFill="1">
      <alignment vertical="center"/>
    </xf>
    <xf numFmtId="49" fontId="16" fillId="0" borderId="0" xfId="42" applyNumberFormat="1" applyFill="1">
      <alignment vertical="center"/>
    </xf>
    <xf numFmtId="0" fontId="16" fillId="0" borderId="0" xfId="42" applyFill="1">
      <alignment vertical="center"/>
    </xf>
    <xf numFmtId="14" fontId="16" fillId="0" borderId="0" xfId="42" applyNumberFormat="1" applyFill="1">
      <alignment vertical="center"/>
    </xf>
    <xf numFmtId="178" fontId="4" fillId="3" borderId="2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81" fontId="1" fillId="2" borderId="3" xfId="1" applyNumberFormat="1" applyFont="1" applyFill="1" applyBorder="1" applyAlignment="1" applyProtection="1">
      <alignment horizontal="center" vertical="center" wrapText="1"/>
    </xf>
    <xf numFmtId="173" fontId="1" fillId="2" borderId="2" xfId="2" applyNumberFormat="1" applyFont="1" applyFill="1" applyBorder="1" applyAlignment="1" applyProtection="1">
      <alignment horizontal="center" vertical="center" wrapText="1"/>
    </xf>
    <xf numFmtId="0" fontId="3" fillId="0" borderId="0" xfId="42" applyFont="1" applyFill="1" applyBorder="1" applyAlignment="1"/>
    <xf numFmtId="0" fontId="1" fillId="4" borderId="2" xfId="2" applyNumberFormat="1" applyFont="1" applyFill="1" applyBorder="1" applyAlignment="1" applyProtection="1">
      <alignment horizontal="center" vertical="center" wrapText="1"/>
    </xf>
    <xf numFmtId="0" fontId="16" fillId="0" borderId="0" xfId="42">
      <alignment vertical="center"/>
    </xf>
    <xf numFmtId="178" fontId="4" fillId="5" borderId="2" xfId="68" applyNumberFormat="1" applyFont="1" applyFill="1" applyBorder="1" applyAlignment="1" applyProtection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3" fontId="4" fillId="5" borderId="4" xfId="0" applyNumberFormat="1" applyFont="1" applyFill="1" applyBorder="1" applyAlignment="1">
      <alignment horizontal="center" vertical="center" wrapText="1"/>
    </xf>
    <xf numFmtId="173" fontId="0" fillId="0" borderId="0" xfId="32" applyNumberFormat="1" applyFont="1" applyFill="1">
      <alignment vertical="center"/>
    </xf>
    <xf numFmtId="173" fontId="0" fillId="0" borderId="0" xfId="32" applyFont="1" applyFill="1">
      <alignment vertical="center"/>
    </xf>
    <xf numFmtId="176" fontId="5" fillId="0" borderId="0" xfId="57" applyNumberFormat="1" applyFont="1" applyFill="1" applyBorder="1" applyAlignment="1">
      <alignment vertical="center"/>
    </xf>
    <xf numFmtId="0" fontId="16" fillId="0" borderId="0" xfId="57">
      <alignment vertical="center"/>
    </xf>
    <xf numFmtId="173" fontId="16" fillId="0" borderId="0" xfId="57" applyNumberFormat="1" applyFill="1">
      <alignment vertical="center"/>
    </xf>
    <xf numFmtId="0" fontId="16" fillId="0" borderId="0" xfId="57" applyFill="1">
      <alignment vertical="center"/>
    </xf>
    <xf numFmtId="173" fontId="6" fillId="0" borderId="0" xfId="57" applyNumberFormat="1" applyFont="1" applyFill="1" applyBorder="1" applyAlignment="1"/>
    <xf numFmtId="178" fontId="4" fillId="6" borderId="4" xfId="0" applyNumberFormat="1" applyFont="1" applyFill="1" applyBorder="1" applyAlignment="1">
      <alignment horizontal="center" vertical="center" wrapText="1"/>
    </xf>
    <xf numFmtId="14" fontId="0" fillId="0" borderId="0" xfId="57" applyNumberFormat="1" applyFont="1" applyFill="1" applyBorder="1" applyAlignment="1"/>
    <xf numFmtId="0" fontId="6" fillId="0" borderId="0" xfId="57" applyFont="1" applyFill="1" applyBorder="1" applyAlignment="1"/>
    <xf numFmtId="16" fontId="16" fillId="0" borderId="0" xfId="57" applyNumberFormat="1" applyFill="1">
      <alignment vertical="center"/>
    </xf>
    <xf numFmtId="0" fontId="16" fillId="0" borderId="0" xfId="57" applyNumberFormat="1" applyFill="1">
      <alignment vertical="center"/>
    </xf>
    <xf numFmtId="0" fontId="6" fillId="0" borderId="0" xfId="57" applyFont="1" applyFill="1">
      <alignment vertical="center"/>
    </xf>
    <xf numFmtId="16" fontId="16" fillId="0" borderId="0" xfId="57" applyNumberFormat="1">
      <alignment vertical="center"/>
    </xf>
    <xf numFmtId="169" fontId="1" fillId="4" borderId="2" xfId="2" applyNumberFormat="1" applyFont="1" applyFill="1" applyBorder="1" applyAlignment="1" applyProtection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>
      <alignment horizontal="center" vertical="center" wrapText="1"/>
    </xf>
    <xf numFmtId="16" fontId="0" fillId="0" borderId="0" xfId="57" applyNumberFormat="1" applyFont="1">
      <alignment vertical="center"/>
    </xf>
    <xf numFmtId="173" fontId="0" fillId="0" borderId="0" xfId="0" applyNumberFormat="1" applyAlignment="1">
      <alignment horizontal="center"/>
    </xf>
    <xf numFmtId="0" fontId="1" fillId="4" borderId="1" xfId="2" applyNumberFormat="1" applyFont="1" applyFill="1" applyBorder="1" applyAlignment="1" applyProtection="1">
      <alignment horizontal="center" vertical="center" wrapText="1"/>
    </xf>
    <xf numFmtId="0" fontId="0" fillId="0" borderId="0" xfId="0" applyNumberFormat="1"/>
  </cellXfs>
  <cellStyles count="71">
    <cellStyle name="Comma" xfId="1" builtinId="3"/>
    <cellStyle name="Comma [0] 2" xfId="18"/>
    <cellStyle name="Comma [0] 2 5" xfId="19"/>
    <cellStyle name="Comma 10" xfId="20"/>
    <cellStyle name="Comma 11" xfId="9"/>
    <cellStyle name="Comma 2" xfId="17"/>
    <cellStyle name="Comma 2 2" xfId="15"/>
    <cellStyle name="Comma 2 2 2" xfId="21"/>
    <cellStyle name="Comma 2 2 2 2" xfId="22"/>
    <cellStyle name="Comma 2 2 3" xfId="7"/>
    <cellStyle name="Comma 2 8" xfId="16"/>
    <cellStyle name="Comma 2 8 2" xfId="14"/>
    <cellStyle name="Comma 2 9" xfId="25"/>
    <cellStyle name="Comma 2 9 4" xfId="11"/>
    <cellStyle name="Comma 3" xfId="23"/>
    <cellStyle name="Comma 4" xfId="26"/>
    <cellStyle name="Comma 5" xfId="27"/>
    <cellStyle name="Comma 6" xfId="28"/>
    <cellStyle name="Comma 7" xfId="29"/>
    <cellStyle name="Comma 8" xfId="30"/>
    <cellStyle name="Comma 9" xfId="31"/>
    <cellStyle name="Currency" xfId="2" builtinId="4"/>
    <cellStyle name="Currency 2" xfId="32"/>
    <cellStyle name="Excel Built-in Excel Built-in Excel Built-in Excel Built-in Excel Built-in Excel Built-in Excel Built-in TableStyleLight1" xfId="33"/>
    <cellStyle name="Excel Built-in Heading 1" xfId="34"/>
    <cellStyle name="Normal" xfId="0" builtinId="0"/>
    <cellStyle name="Normal 10" xfId="35"/>
    <cellStyle name="Normal 11" xfId="36"/>
    <cellStyle name="Normal 12" xfId="37"/>
    <cellStyle name="Normal 13" xfId="38"/>
    <cellStyle name="Normal 14" xfId="39"/>
    <cellStyle name="Normal 15" xfId="40"/>
    <cellStyle name="Normal 16" xfId="41"/>
    <cellStyle name="Normal 17" xfId="42"/>
    <cellStyle name="Normal 2" xfId="43"/>
    <cellStyle name="Normal 2 11" xfId="44"/>
    <cellStyle name="Normal 2 2" xfId="45"/>
    <cellStyle name="Normal 2 2 2" xfId="46"/>
    <cellStyle name="Normal 2 2 2 2" xfId="12"/>
    <cellStyle name="Normal 2 2 2 2 2" xfId="6"/>
    <cellStyle name="Normal 2 2 2 3" xfId="13"/>
    <cellStyle name="Normal 2 2 2 4" xfId="10"/>
    <cellStyle name="Normal 2 2 2 4 2 2" xfId="47"/>
    <cellStyle name="Normal 2 2 2 4 2 2 6" xfId="8"/>
    <cellStyle name="Normal 2 2 2 4 2 2 7" xfId="5"/>
    <cellStyle name="Normal 2 3" xfId="48"/>
    <cellStyle name="Normal 26" xfId="49"/>
    <cellStyle name="Normal 3" xfId="50"/>
    <cellStyle name="Normal 3 11" xfId="3"/>
    <cellStyle name="Normal 3 11 2" xfId="24"/>
    <cellStyle name="Normal 3 11 2 2" xfId="51"/>
    <cellStyle name="Normal 3 11 2 2 2" xfId="52"/>
    <cellStyle name="Normal 3 2" xfId="53"/>
    <cellStyle name="Normal 3 4 2" xfId="4"/>
    <cellStyle name="Normal 33" xfId="54"/>
    <cellStyle name="Normal 39" xfId="55"/>
    <cellStyle name="Normal 39 2" xfId="56"/>
    <cellStyle name="Normal 4" xfId="57"/>
    <cellStyle name="Normal 4 2" xfId="58"/>
    <cellStyle name="Normal 436" xfId="59"/>
    <cellStyle name="Normal 464" xfId="60"/>
    <cellStyle name="Normal 5" xfId="61"/>
    <cellStyle name="Normal 6" xfId="62"/>
    <cellStyle name="Normal 65" xfId="64"/>
    <cellStyle name="Normal 7" xfId="65"/>
    <cellStyle name="Normal 8" xfId="66"/>
    <cellStyle name="Normal 9" xfId="67"/>
    <cellStyle name="Normal_020210 Payment report-JAN-FEB 10_JANUARY 2" xfId="68"/>
    <cellStyle name="一般_CI  PL format" xfId="69"/>
    <cellStyle name="常规 13" xfId="63"/>
    <cellStyle name="常规 29" xfId="7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ideline_ship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Kolom Bantu POD</v>
          </cell>
          <cell r="B1" t="str">
            <v>Country</v>
          </cell>
          <cell r="C1" t="str">
            <v>By</v>
          </cell>
          <cell r="D1" t="str">
            <v>Branch Plant</v>
          </cell>
          <cell r="E1" t="str">
            <v>Consignee</v>
          </cell>
          <cell r="F1" t="str">
            <v>Notify Party/Delivery Address</v>
          </cell>
          <cell r="G1" t="str">
            <v>POD</v>
          </cell>
        </row>
        <row r="2">
          <cell r="A2" t="str">
            <v>CACFS1032</v>
          </cell>
          <cell r="B2" t="str">
            <v>CA</v>
          </cell>
          <cell r="C2" t="str">
            <v>CFS</v>
          </cell>
          <cell r="D2">
            <v>1032</v>
          </cell>
          <cell r="E2" t="str">
            <v>CROCS CANADA, INC
100 King street West
1 First Canadian place
Suite 6200
Toronto, ON
M5X 1B8, CANADA</v>
          </cell>
          <cell r="F2" t="str">
            <v>UPS SCS INC
399 Glover Road
Hamilton, ON, L0R 1P0
Email: UPSCROCSInboundHamilton@ups.com
Phone#: 365-227-1060</v>
          </cell>
          <cell r="G2" t="str">
            <v>Vancouver</v>
          </cell>
        </row>
        <row r="3">
          <cell r="A3" t="str">
            <v>CACY1032</v>
          </cell>
          <cell r="B3" t="str">
            <v>CA</v>
          </cell>
          <cell r="C3" t="str">
            <v>CY</v>
          </cell>
          <cell r="D3">
            <v>1032</v>
          </cell>
          <cell r="E3" t="str">
            <v>CROCS CANADA, INC
100 King street West
1 First Canadian place
Suite 6200
Toronto, ON
M5X 1B8, CANADA</v>
          </cell>
          <cell r="F3" t="str">
            <v>UPS SCS INC
399 Glover Road
Hamilton, ON, L0R 1P0
Email: UPSCROCSInboundHamilton@ups.com
Phone#: 365-227-1060</v>
          </cell>
          <cell r="G3" t="str">
            <v>Vancouver</v>
          </cell>
        </row>
        <row r="4">
          <cell r="A4" t="str">
            <v>USCFS1001</v>
          </cell>
          <cell r="B4" t="str">
            <v>US</v>
          </cell>
          <cell r="C4" t="str">
            <v>CFS</v>
          </cell>
          <cell r="D4">
            <v>1001</v>
          </cell>
          <cell r="E4" t="str">
            <v>CROCS, Inc.
500 Eldorado Blvd.  Bldg 5 
Broomfield, CO  80021 USA
PH: 303 848-7287
(IRS# 20-2164234-00)</v>
          </cell>
          <cell r="F4" t="str">
            <v>Damco distribution service
12801 Excelsior Dr.
Santa Fe Springs, CA 90670 
USA
Phone (1) 213-514-0091</v>
          </cell>
          <cell r="G4" t="str">
            <v>LOS ANGELES</v>
          </cell>
        </row>
        <row r="5">
          <cell r="A5" t="str">
            <v>USCY1001</v>
          </cell>
          <cell r="B5" t="str">
            <v>US</v>
          </cell>
          <cell r="C5" t="str">
            <v>CY</v>
          </cell>
          <cell r="D5">
            <v>1001</v>
          </cell>
          <cell r="E5" t="str">
            <v>CROCS, Inc.
500 Eldorado Blvd.  Bldg 5 
Broomfield, CO  80021 USA
PH: 303 848-7287
(IRS# 20-2164234-00)</v>
          </cell>
          <cell r="F5" t="str">
            <v>Damco distribution service
12801 Excelsior Dr.
Santa Fe Springs, CA 90670 
USA
Phone (1) 213-514-0091</v>
          </cell>
          <cell r="G5" t="str">
            <v>LOS ANGELES</v>
          </cell>
        </row>
        <row r="6">
          <cell r="A6" t="str">
            <v>USCFS1003</v>
          </cell>
          <cell r="B6" t="str">
            <v>US</v>
          </cell>
          <cell r="C6" t="str">
            <v>CFS</v>
          </cell>
          <cell r="D6">
            <v>1003</v>
          </cell>
          <cell r="E6" t="str">
            <v>CROCS, Inc.
500 Eldorado Blvd.  Bldg 5 
Broomfield, CO  80021 USA
PH: 303 848-7287
(IRS# 20-2164234-00)</v>
          </cell>
          <cell r="F6" t="str">
            <v>Maersk Logistics Services USA Inc, 
aka WND
Sav 11- 380 Fort Argyle Rd. Savannah,
GA 31419
USA</v>
          </cell>
          <cell r="G6" t="str">
            <v>SAVANNAH</v>
          </cell>
        </row>
        <row r="7">
          <cell r="A7" t="str">
            <v>USCY1003</v>
          </cell>
          <cell r="B7" t="str">
            <v>US</v>
          </cell>
          <cell r="C7" t="str">
            <v>CY</v>
          </cell>
          <cell r="D7">
            <v>1003</v>
          </cell>
          <cell r="E7" t="str">
            <v>CROCS, Inc.
500 Eldorado Blvd.  Bldg 5 
Broomfield, CO  80021 USA
PH: 303 848-7287
(IRS# 20-2164234-00)</v>
          </cell>
          <cell r="F7" t="str">
            <v>Maersk Logistics Services USA Inc, 
aka WND
Sav 11- 380 Fort Argyle Rd. Savannah,
GA 31419
USA</v>
          </cell>
          <cell r="G7" t="str">
            <v>SAVANNAH</v>
          </cell>
        </row>
        <row r="8">
          <cell r="A8" t="str">
            <v>USCFS1005</v>
          </cell>
          <cell r="B8" t="str">
            <v>US</v>
          </cell>
          <cell r="C8" t="str">
            <v>CFS</v>
          </cell>
          <cell r="D8">
            <v>1005</v>
          </cell>
          <cell r="E8" t="str">
            <v>CROCS, Inc.
500 Eldorado Blvd.  Bldg 5 
Broomfield, CO  80021 USA
PH: 303 848-7287
(IRS# 20-2164234-00)</v>
          </cell>
          <cell r="F8" t="str">
            <v>CROCS Vandalia FINAL
10391 Dog Leg Road
Vandalia, OH 45377
USA
Phone (1) 720-552-2451</v>
          </cell>
          <cell r="G8" t="str">
            <v>LOS ANGELES</v>
          </cell>
        </row>
        <row r="9">
          <cell r="A9" t="str">
            <v>USCY1005</v>
          </cell>
          <cell r="B9" t="str">
            <v>US</v>
          </cell>
          <cell r="C9" t="str">
            <v>CY</v>
          </cell>
          <cell r="D9">
            <v>1005</v>
          </cell>
          <cell r="E9" t="str">
            <v>CROCS, Inc.
500 Eldorado Blvd.  Bldg 5 
Broomfield, CO  80021 USA
PH: 303 848-7287
(IRS# 20-2164234-00)</v>
          </cell>
          <cell r="F9" t="str">
            <v>CROCS Vandalia FINAL
10391 Dog Leg Road
Vandalia, OH 45377
USA
Phone (1) 720-552-2451</v>
          </cell>
          <cell r="G9" t="str">
            <v>LOS ANGELES</v>
          </cell>
        </row>
        <row r="10">
          <cell r="A10" t="str">
            <v>BRCYBRA001</v>
          </cell>
          <cell r="B10" t="str">
            <v>BR</v>
          </cell>
          <cell r="C10" t="str">
            <v>CY</v>
          </cell>
          <cell r="D10" t="str">
            <v>BRA001</v>
          </cell>
          <cell r="E10" t="str">
            <v>CROCS BRASIL COMERCIO DE CALCADOS LTDA
AVENIDA JOSE LUIZ MAZZALI
450 GALPAOMODULO 2A SALA CROCS AREA 02
SANTO ANTONIO LOUVEIRA,SP,13294002 BRAZIL
CNPJ 74.261.884/0024-60</v>
          </cell>
          <cell r="F10" t="str">
            <v>Same as Consignee</v>
          </cell>
          <cell r="G10" t="str">
            <v>SANTOS</v>
          </cell>
        </row>
        <row r="11">
          <cell r="A11" t="str">
            <v>BRCFSBRA001</v>
          </cell>
          <cell r="B11" t="str">
            <v>BR</v>
          </cell>
          <cell r="C11" t="str">
            <v>CFS</v>
          </cell>
          <cell r="D11" t="str">
            <v>BRA001</v>
          </cell>
          <cell r="E11" t="str">
            <v>CROCS BRASIL COMERCIO DE CALCADOS LTDA
AVENIDA JOSE LUIZ MAZZALI
450 GALPAOMODULO 2A SALA CROCS AREA 02
SANTO ANTONIO LOUVEIRA,SP,13294002 BRAZIL
CNPJ 74.261.884/0024-60</v>
          </cell>
          <cell r="F11" t="str">
            <v>Same as Consignee</v>
          </cell>
          <cell r="G11" t="str">
            <v>SANTOS</v>
          </cell>
        </row>
        <row r="12">
          <cell r="A12" t="str">
            <v>KRCY3101</v>
          </cell>
          <cell r="B12" t="str">
            <v>KR</v>
          </cell>
          <cell r="C12" t="str">
            <v>CY</v>
          </cell>
          <cell r="D12">
            <v>3101</v>
          </cell>
          <cell r="E12" t="str">
            <v>Crocs Korea Inc. 
410, Teheran-ro, Gangnam-gu, Seoul 
6F KeumKang Tower 
Seoul, 06192 
KOREA</v>
          </cell>
          <cell r="F12" t="str">
            <v>287, Cheongbaengni-ro, 
Baeksa-myeon, Icheon-si, 
Gyeonggi-do, 
Republic of Korea
Postal code is 17315.</v>
          </cell>
          <cell r="G12" t="str">
            <v>INCHEON</v>
          </cell>
        </row>
        <row r="13">
          <cell r="A13" t="str">
            <v>KRCFS3101</v>
          </cell>
          <cell r="B13" t="str">
            <v>KR</v>
          </cell>
          <cell r="C13" t="str">
            <v>CFS</v>
          </cell>
          <cell r="D13">
            <v>3101</v>
          </cell>
          <cell r="E13" t="str">
            <v>Crocs Korea Inc. 
410, Teheran-ro, Gangnam-gu, Seoul 
6F KeumKang Tower 
Seoul, 06192 
KOREA</v>
          </cell>
          <cell r="F13" t="str">
            <v>287, Cheongbaengni-ro, 
Baeksa-myeon, Icheon-si, 
Gyeonggi-do, 
Republic of Korea
Postal code is 17315.</v>
          </cell>
          <cell r="G13" t="str">
            <v>INCHEON</v>
          </cell>
        </row>
        <row r="14">
          <cell r="A14" t="str">
            <v>INCY3081</v>
          </cell>
          <cell r="B14" t="str">
            <v>IN</v>
          </cell>
          <cell r="C14" t="str">
            <v>CY</v>
          </cell>
          <cell r="D14">
            <v>3081</v>
          </cell>
          <cell r="E14" t="str">
            <v>Crocs India Private Limited
10th Floor, Tower-C, Building no. 10, DLF Cyber City, 
Gurugram -122002, Haryana, INDIA.
PAN No. – AADCC0151A, IEC: 0507000919 
GSTIN: 27AADCC0151A1ZH</v>
          </cell>
          <cell r="F14" t="str">
            <v>Crocs India Private Limited
M/s CJ DARCL Logistics Limited
Building RA-3 at Ratan Logistics &amp; Industrial Hub
Village, Amane, Bhiwandi Thane Maharashtra – 
421302, India GST-27AADCC0151A1ZH</v>
          </cell>
          <cell r="G14" t="str">
            <v>JAWAHARLAL NEHRU</v>
          </cell>
        </row>
        <row r="15">
          <cell r="A15" t="str">
            <v>INCFS3081</v>
          </cell>
          <cell r="B15" t="str">
            <v>IN</v>
          </cell>
          <cell r="C15" t="str">
            <v>CFS</v>
          </cell>
          <cell r="D15">
            <v>3081</v>
          </cell>
          <cell r="E15" t="str">
            <v>Crocs India Private Limited
10th Floor, Tower-C, Building no. 10, DLF Cyber City, 
Gurugram -122002, Haryana, INDIA.
PAN No. – AADCC0151A, IEC: 0507000919 
GSTIN: 27AADCC0151A1ZH</v>
          </cell>
          <cell r="F15" t="str">
            <v>Crocs India Private Limited
M/s CJ DARCL Logistics Limited
Building RA-3 at Ratan Logistics &amp; Industrial Hub
Village, Amane, Bhiwandi Thane Maharashtra – 
421302, India GST-27AADCC0151A1ZH</v>
          </cell>
          <cell r="G15" t="str">
            <v>JAWAHARLAL NEHRU</v>
          </cell>
        </row>
        <row r="16">
          <cell r="A16" t="str">
            <v>INCY3082</v>
          </cell>
          <cell r="B16" t="str">
            <v>IN</v>
          </cell>
          <cell r="C16" t="str">
            <v>CY</v>
          </cell>
          <cell r="D16">
            <v>3082</v>
          </cell>
          <cell r="E16" t="str">
            <v>Crocs India Private Limited
10th Floor, Tower-C, Building no. 10, DLF Cyber City, 
Gurugram -122002, Haryana, INDIA.
PAN No. – AADCC0151A, IEC: 0507000919 
GSTIN: 27AADCC0151A1ZH</v>
          </cell>
          <cell r="F16" t="str">
            <v>Crocs India Private Limited
M/s CJ DARCL Logistics Limited
Building RA-3 at Ratan Logistics &amp; Industrial Hub
Village, Amane, Bhiwandi Thane Maharashtra – 
421302, India GST-27AADCC0151A1ZH</v>
          </cell>
          <cell r="G16" t="str">
            <v>JAWAHARLAL NEHRU</v>
          </cell>
        </row>
        <row r="17">
          <cell r="A17" t="str">
            <v>INCFS3082</v>
          </cell>
          <cell r="B17" t="str">
            <v>IN</v>
          </cell>
          <cell r="C17" t="str">
            <v>CFS</v>
          </cell>
          <cell r="D17">
            <v>3082</v>
          </cell>
          <cell r="E17" t="str">
            <v>Crocs India Private Limited
10th Floor, Tower-C, Building no. 10, DLF Cyber City, 
Gurugram -122002, Haryana, INDIA.
PAN No. – AADCC0151A, IEC: 0507000919 
GSTIN: 27AADCC0151A1ZH</v>
          </cell>
          <cell r="F17" t="str">
            <v>Crocs India Private Limited
M/s CJ DARCL Logistics Limited
Building RA-3 at Ratan Logistics &amp; Industrial Hub
Village, Amane, Bhiwandi Thane Maharashtra – 
421302, India GST-27AADCC0151A1ZH</v>
          </cell>
          <cell r="G17" t="str">
            <v>JAWAHARLAL NEHRU</v>
          </cell>
        </row>
        <row r="18">
          <cell r="A18" t="str">
            <v>EUCY2004</v>
          </cell>
          <cell r="B18" t="str">
            <v>EU</v>
          </cell>
          <cell r="C18" t="str">
            <v>CY</v>
          </cell>
          <cell r="D18">
            <v>2004</v>
          </cell>
          <cell r="E18" t="str">
            <v>Crocs Europe BV
Planeetbaan 4
2132 HZ Hoofddorp
The Netherlands</v>
          </cell>
          <cell r="F18" t="str">
            <v>Dordrecht DC
Burgemeester van Zuurenstraat 510
3316LT Dordrecht,NL.</v>
          </cell>
          <cell r="G18" t="str">
            <v>ROTTERDAM</v>
          </cell>
        </row>
        <row r="19">
          <cell r="A19" t="str">
            <v>EUCFS2004</v>
          </cell>
          <cell r="B19" t="str">
            <v>EU</v>
          </cell>
          <cell r="C19" t="str">
            <v>CFS</v>
          </cell>
          <cell r="D19">
            <v>2004</v>
          </cell>
          <cell r="E19" t="str">
            <v>Crocs Europe BV
Planeetbaan 4
2132 HZ Hoofddorp
The Netherlands</v>
          </cell>
          <cell r="F19" t="str">
            <v>Dordrecht DC
Burgemeester van Zuurenstraat 510
3316LT Dordrecht,NL.</v>
          </cell>
          <cell r="G19" t="str">
            <v>ROTTERDAM</v>
          </cell>
        </row>
        <row r="20">
          <cell r="A20" t="str">
            <v>UKCY2004</v>
          </cell>
          <cell r="B20" t="str">
            <v>UK</v>
          </cell>
          <cell r="C20" t="str">
            <v>CY</v>
          </cell>
          <cell r="D20">
            <v>2004</v>
          </cell>
          <cell r="E20" t="str">
            <v>Crocs Europe BV
Planeetbaan 4
2132 HZ Hoofddorp
The Netherlands</v>
          </cell>
          <cell r="F20" t="str">
            <v>Ceva Logistics 
DC3 North Kettering Business Park
Hipwell Road
Kettering
NN14 1UA</v>
          </cell>
          <cell r="G20" t="str">
            <v>LONDON</v>
          </cell>
        </row>
        <row r="21">
          <cell r="A21" t="str">
            <v>UKCFS2004</v>
          </cell>
          <cell r="B21" t="str">
            <v>UK</v>
          </cell>
          <cell r="C21" t="str">
            <v>CFS</v>
          </cell>
          <cell r="D21">
            <v>2004</v>
          </cell>
          <cell r="E21" t="str">
            <v>Crocs Europe BV
Planeetbaan 4
2132 HZ Hoofddorp
The Netherlands</v>
          </cell>
          <cell r="F21" t="str">
            <v>Ceva Logistics 
DC3 North Kettering Business Park
Hipwell Road
Kettering
NN14 1UA</v>
          </cell>
          <cell r="G21" t="str">
            <v>LONDON</v>
          </cell>
        </row>
        <row r="22">
          <cell r="A22" t="str">
            <v>EUCY2061</v>
          </cell>
          <cell r="B22" t="str">
            <v>EU</v>
          </cell>
          <cell r="C22" t="str">
            <v>CY</v>
          </cell>
          <cell r="D22">
            <v>2061</v>
          </cell>
          <cell r="E22" t="str">
            <v>CROCS UK LIMITED
FIRST FLOOR, EC4A 4AB, 26, FARRINGDON STREET,
LONDON, UNITED KINGDOM, GB, EC4A 4AB
Phone  no.: +44 7909873617</v>
          </cell>
          <cell r="F22" t="str">
            <v>Ceva Logistics 
DC3 North Kettering Business Park
Hipwell Road
Kettering
NN14 1UA</v>
          </cell>
          <cell r="G22" t="str">
            <v>LONDON</v>
          </cell>
        </row>
        <row r="23">
          <cell r="A23" t="str">
            <v>EUCFS2061</v>
          </cell>
          <cell r="B23" t="str">
            <v>EU</v>
          </cell>
          <cell r="C23" t="str">
            <v>CFS</v>
          </cell>
          <cell r="D23">
            <v>2061</v>
          </cell>
          <cell r="E23" t="str">
            <v>CROCS UK LIMITED
FIRST FLOOR, EC4A 4AB, 26, FARRINGDON STREET,
LONDON, UNITED KINGDOM, GB, EC4A 4AB
Phone  no.: +44 7909873617</v>
          </cell>
          <cell r="F23" t="str">
            <v>Ceva Logistics 
DC3 North Kettering Business Park
Hipwell Road
Kettering
NN14 1UA</v>
          </cell>
          <cell r="G23" t="str">
            <v>LONDON</v>
          </cell>
        </row>
        <row r="24">
          <cell r="A24" t="str">
            <v>JPCY3021</v>
          </cell>
          <cell r="B24" t="str">
            <v>JP</v>
          </cell>
          <cell r="C24" t="str">
            <v>CY</v>
          </cell>
          <cell r="D24">
            <v>3021</v>
          </cell>
          <cell r="E24" t="str">
            <v>Crocs Japan GK
19F Toranomon Hills Station Tower, 
2-6-1 Toranomon, Minato-ku, Tokyo 105-5519 Japan
Tel: +81 50-5050-9702</v>
          </cell>
          <cell r="F24" t="str">
            <v>Crocs Distribution Center
(MFLP Yachiyo Katsutadai 3F 4F)
1807-13 Nakano Kamikoya
Yachiyo-shi, Chiba-ken 276-0022
Japan</v>
          </cell>
          <cell r="G24" t="str">
            <v>TOKYO</v>
          </cell>
        </row>
        <row r="25">
          <cell r="A25" t="str">
            <v>JPCFS3021</v>
          </cell>
          <cell r="B25" t="str">
            <v>JP</v>
          </cell>
          <cell r="C25" t="str">
            <v>CFS</v>
          </cell>
          <cell r="D25">
            <v>3021</v>
          </cell>
          <cell r="E25" t="str">
            <v>Crocs Japan GK
19F Toranomon Hills Station Tower, 
2-6-1 Toranomon, Minato-ku, Tokyo 105-5519 Japan
Tel: +81 50-5050-9702</v>
          </cell>
          <cell r="F25" t="str">
            <v>Crocs Distribution Center
(MFLP Yachiyo Katsutadai 3F 4F)
1807-13 Nakano Kamikoya
Yachiyo-shi, Chiba-ken 276-0022
Japan</v>
          </cell>
          <cell r="G25" t="str">
            <v>TOKYO</v>
          </cell>
        </row>
        <row r="26">
          <cell r="A26" t="str">
            <v>JPCY3023</v>
          </cell>
          <cell r="B26" t="str">
            <v>JP</v>
          </cell>
          <cell r="C26" t="str">
            <v>CY</v>
          </cell>
          <cell r="D26">
            <v>3023</v>
          </cell>
          <cell r="E26" t="str">
            <v>Crocs Japan GK
19F Toranomon Hills Station Tower, 
2-6-1 Toranomon, Minato-ku, Tokyo 105-5519 Japan
Tel: +81 50-5050-9702</v>
          </cell>
          <cell r="F26" t="str">
            <v>Crocs Distribution Center
(MFLP Yachiyo Katsutadai 3F 4F)
1807-13 Nakano Kamikoya
Yachiyo-shi, Chiba-ken 276-0022
Japan</v>
          </cell>
          <cell r="G26" t="str">
            <v>TOKYO</v>
          </cell>
        </row>
        <row r="27">
          <cell r="A27" t="str">
            <v>JPCFS3023</v>
          </cell>
          <cell r="B27" t="str">
            <v>JP</v>
          </cell>
          <cell r="C27" t="str">
            <v>CFS</v>
          </cell>
          <cell r="D27">
            <v>3023</v>
          </cell>
          <cell r="E27" t="str">
            <v>Crocs Japan GK
19F Toranomon Hills Station Tower, 
2-6-1 Toranomon, Minato-ku, Tokyo 105-5519 Japan
Tel: +81 50-5050-9702</v>
          </cell>
          <cell r="F27" t="str">
            <v>Crocs Distribution Center
(MFLP Yachiyo Katsutadai 3F 4F)
1807-13 Nakano Kamikoya
Yachiyo-shi, Chiba-ken 276-0022
Japan</v>
          </cell>
          <cell r="G27" t="str">
            <v>TOKYO</v>
          </cell>
        </row>
        <row r="28">
          <cell r="A28" t="str">
            <v>AUCY3014</v>
          </cell>
          <cell r="B28" t="str">
            <v>AU</v>
          </cell>
          <cell r="C28" t="str">
            <v>CY</v>
          </cell>
          <cell r="D28">
            <v>3014</v>
          </cell>
          <cell r="E28" t="str">
            <v>Crocs Australia Pty Ltd
Suite 2.01, Level 2, Building 1,
658 Church Street, 
Richmond 3121</v>
          </cell>
          <cell r="F28" t="str">
            <v>MAERSK LOGISTICS &amp; SERVICES AUSTRALIA PTY LTD
17, REID WAY, Melbourne Airport, 
VICTORIA, 3045 AUSTRALIA</v>
          </cell>
          <cell r="G28" t="str">
            <v>Melbourne</v>
          </cell>
        </row>
        <row r="29">
          <cell r="A29" t="str">
            <v>AUCFS3014</v>
          </cell>
          <cell r="B29" t="str">
            <v>AU</v>
          </cell>
          <cell r="C29" t="str">
            <v>CFS</v>
          </cell>
          <cell r="D29">
            <v>3014</v>
          </cell>
          <cell r="E29" t="str">
            <v>Crocs Australia Pty Ltd
Suite 2.01, Level 2, Building 1,
658 Church Street, 
Richmond 3121</v>
          </cell>
          <cell r="F29" t="str">
            <v>MAERSK LOGISTICS &amp; SERVICES AUSTRALIA PTY LTD
17, REID WAY, Melbourne Airport, 
VICTORIA, 3045 AUSTRALIA</v>
          </cell>
          <cell r="G29" t="str">
            <v>Melbourne</v>
          </cell>
        </row>
        <row r="30">
          <cell r="A30" t="str">
            <v>AUCY3011</v>
          </cell>
          <cell r="B30" t="str">
            <v>AU</v>
          </cell>
          <cell r="C30" t="str">
            <v>CY</v>
          </cell>
          <cell r="D30">
            <v>3011</v>
          </cell>
          <cell r="E30" t="str">
            <v>Crocs Australia Pty Ltd
Suite 2.01, Level 2, Building 1,
658 Church Street, 
Richmond 3121</v>
          </cell>
          <cell r="F30" t="str">
            <v>MAERSK LOGISTICS &amp; SERVICES AUSTRALIA PTY LTD 
Unit 2A, 145 Hollinsworth Rd, 
Marsden Park NSW 2765
Australia</v>
          </cell>
          <cell r="G30" t="str">
            <v>Sydney</v>
          </cell>
        </row>
        <row r="31">
          <cell r="A31" t="str">
            <v>AUCFS3011</v>
          </cell>
          <cell r="B31" t="str">
            <v>AU</v>
          </cell>
          <cell r="C31" t="str">
            <v>CFS</v>
          </cell>
          <cell r="D31">
            <v>3011</v>
          </cell>
          <cell r="E31" t="str">
            <v>Crocs Australia Pty Ltd
Suite 2.01, Level 2, Building 1,
658 Church Street, 
Richmond 3121</v>
          </cell>
          <cell r="F31" t="str">
            <v>MAERSK LOGISTICS &amp; SERVICES AUSTRALIA PTY LTD 
Unit 2A, 145 Hollinsworth Rd, 
Marsden Park NSW 2765
Australia</v>
          </cell>
          <cell r="G31" t="str">
            <v>Sydney</v>
          </cell>
        </row>
        <row r="32">
          <cell r="A32" t="str">
            <v>AUCY3013</v>
          </cell>
          <cell r="B32" t="str">
            <v>AU</v>
          </cell>
          <cell r="C32" t="str">
            <v>CY</v>
          </cell>
          <cell r="D32">
            <v>3013</v>
          </cell>
          <cell r="E32" t="str">
            <v>Crocs Australia Pty Ltd
Suite 2.01, Level 2, Building 1,
658 Church Street, 
Richmond 3121</v>
          </cell>
          <cell r="F32" t="str">
            <v>MAERSK LOGISTICS &amp; SERVICES AUSTRALIA PTY LTD
28 Flint Street, Inala, Queensland, 
4077, Australia</v>
          </cell>
          <cell r="G32" t="str">
            <v>Brisbane</v>
          </cell>
        </row>
        <row r="33">
          <cell r="A33" t="str">
            <v>AUCFS3013</v>
          </cell>
          <cell r="B33" t="str">
            <v>AU</v>
          </cell>
          <cell r="C33" t="str">
            <v>CFS</v>
          </cell>
          <cell r="D33">
            <v>3013</v>
          </cell>
          <cell r="E33" t="str">
            <v>Crocs Australia Pty Ltd
Suite 2.01, Level 2, Building 1,
658 Church Street, 
Richmond 3121</v>
          </cell>
          <cell r="F33" t="str">
            <v>MAERSK LOGISTICS &amp; SERVICES AUSTRALIA PTY LTD
28 Flint Street, Inala, Queensland, 
4077, Australia</v>
          </cell>
          <cell r="G33" t="str">
            <v>Brisbane</v>
          </cell>
        </row>
        <row r="34">
          <cell r="A34" t="str">
            <v>MYCY3171</v>
          </cell>
          <cell r="B34" t="str">
            <v>MY</v>
          </cell>
          <cell r="C34" t="str">
            <v>CY</v>
          </cell>
          <cell r="D34">
            <v>3171</v>
          </cell>
          <cell r="E34" t="str">
            <v>Crocs Footwear (Malaysia) Sdn, Bhd. 
9-7 (Level) 7, Jalana USJ 9/5Q 
Subang Business Centre 
UEP Subang Jaya 
Subang Jaya 
Selangor 47620</v>
          </cell>
          <cell r="F34" t="str">
            <v>LF LOGISTICS SERVICES (M) SDN. BHD.
NO.2, JALAN TANJUNG KERAMAT 26/35,
SEKSYEN 26, 40400 SHAH ALAM, SELANGOR.</v>
          </cell>
          <cell r="G34" t="str">
            <v>Port Klang</v>
          </cell>
        </row>
        <row r="35">
          <cell r="A35" t="str">
            <v>MYCFS3171</v>
          </cell>
          <cell r="B35" t="str">
            <v>MY</v>
          </cell>
          <cell r="C35" t="str">
            <v>CFS</v>
          </cell>
          <cell r="D35">
            <v>3171</v>
          </cell>
          <cell r="E35" t="str">
            <v>Crocs Footwear (Malaysia) Sdn, Bhd. 
9-7 (Level) 7, Jalana USJ 9/5Q 
Subang Business Centre 
UEP Subang Jaya 
Subang Jaya 
Selangor 47620</v>
          </cell>
          <cell r="F35" t="str">
            <v>LF LOGISTICS SERVICES (M) SDN. BHD.
NO.2, JALAN TANJUNG KERAMAT 26/35,
SEKSYEN 26, 40400 SHAH ALAM, SELANGOR.</v>
          </cell>
          <cell r="G35" t="str">
            <v>Port Klang</v>
          </cell>
        </row>
        <row r="36">
          <cell r="A36" t="str">
            <v>CNCY3121</v>
          </cell>
          <cell r="B36" t="str">
            <v>CN</v>
          </cell>
          <cell r="C36" t="str">
            <v>CY</v>
          </cell>
          <cell r="D36">
            <v>3121</v>
          </cell>
          <cell r="E36" t="str">
            <v>Crocs Trading (Shanghai) Co., Ltd.
27F Office Building, Shanghai Times Square,
93 Huaihai Road(M),Shanghai 200021,China</v>
          </cell>
          <cell r="F36" t="str">
            <v>Crocs Warehouse (Shanghai)
NO.1518-1,SIYI ROAD,JIADING DISTRICT,
SHANGHAI, P.R.China 201801</v>
          </cell>
          <cell r="G36" t="str">
            <v>SHANGHAI</v>
          </cell>
        </row>
        <row r="37">
          <cell r="A37" t="str">
            <v>CNCFS3121</v>
          </cell>
          <cell r="B37" t="str">
            <v>CN</v>
          </cell>
          <cell r="C37" t="str">
            <v>CFS</v>
          </cell>
          <cell r="D37">
            <v>3121</v>
          </cell>
          <cell r="E37" t="str">
            <v>Crocs Trading (Shanghai) Co., Ltd.
27F Office Building, Shanghai Times Square,
93 Huaihai Road(M),Shanghai 200021,China</v>
          </cell>
          <cell r="F37" t="str">
            <v>Crocs Warehouse (Shanghai)
NO.1518-1,SIYI ROAD,JIADING DISTRICT,
SHANGHAI, P.R.China 201801</v>
          </cell>
          <cell r="G37" t="str">
            <v>SHANGHAI</v>
          </cell>
        </row>
        <row r="38">
          <cell r="A38" t="str">
            <v>CNCY3091</v>
          </cell>
          <cell r="B38" t="str">
            <v>CN</v>
          </cell>
          <cell r="C38" t="str">
            <v>CY</v>
          </cell>
          <cell r="D38">
            <v>3091</v>
          </cell>
          <cell r="E38" t="str">
            <v>Crocs Footwear &amp; Accessories (Shanghai) Co., Ltd.
27F Office Building, Shanghai Times Square,
93 Huaihai Road(M),Shanghai 200021, China</v>
          </cell>
          <cell r="F38" t="str">
            <v>Crocs Warehouse (Shanghai)
NO.1518-1,SIYI ROAD,JIADING DISTRICT,
SHANGHAI, P.R.China 201801</v>
          </cell>
          <cell r="G38" t="str">
            <v>SHANGHAI</v>
          </cell>
        </row>
        <row r="39">
          <cell r="A39" t="str">
            <v>CNCFS3091</v>
          </cell>
          <cell r="B39" t="str">
            <v>CN</v>
          </cell>
          <cell r="C39" t="str">
            <v>CFS</v>
          </cell>
          <cell r="D39">
            <v>3091</v>
          </cell>
          <cell r="E39" t="str">
            <v>Crocs Footwear &amp; Accessories (Shanghai) Co., Ltd.
27F Office Building, Shanghai Times Square,
93 Huaihai Road(M),Shanghai 200021, China</v>
          </cell>
          <cell r="F39" t="str">
            <v>Crocs Warehouse (Shanghai)
NO.1518-1,SIYI ROAD,JIADING DISTRICT,
SHANGHAI, P.R.China 201801</v>
          </cell>
          <cell r="G39" t="str">
            <v>SHANGHAI</v>
          </cell>
        </row>
        <row r="40">
          <cell r="A40" t="str">
            <v>MXCY2002</v>
          </cell>
          <cell r="B40" t="str">
            <v>MX</v>
          </cell>
          <cell r="C40" t="str">
            <v>CY</v>
          </cell>
          <cell r="D40">
            <v>2002</v>
          </cell>
          <cell r="E40" t="str">
            <v>COMERCIO EXCELENTE NORTE SUR, S. A. DE C.V.
LAFONTAINE NO. 92, COL. POLANCO III SECCION
CIUDAD DE MEXICO, C.P. 11540
MEXICO</v>
          </cell>
          <cell r="F40" t="str">
            <v>SAME AS CONSIGNEE</v>
          </cell>
          <cell r="G40" t="str">
            <v>LAZARO CARDENAS</v>
          </cell>
        </row>
        <row r="41">
          <cell r="A41" t="str">
            <v>MXCFS2002</v>
          </cell>
          <cell r="B41" t="str">
            <v>MX</v>
          </cell>
          <cell r="C41" t="str">
            <v>CFS</v>
          </cell>
          <cell r="D41">
            <v>2002</v>
          </cell>
          <cell r="E41" t="str">
            <v>COMERCIO EXCELENTE NORTE SUR, S. A. DE C.V.
LAFONTAINE NO. 92, COL. POLANCO III SECCION
CIUDAD DE MEXICO, C.P. 11540
MEXICO</v>
          </cell>
          <cell r="F41" t="str">
            <v>SAME AS CONSIGNEE</v>
          </cell>
          <cell r="G41" t="str">
            <v>LAZARO CARDENAS</v>
          </cell>
        </row>
        <row r="42">
          <cell r="A42" t="str">
            <v>THCFS3001</v>
          </cell>
          <cell r="B42" t="str">
            <v>TH</v>
          </cell>
          <cell r="C42" t="str">
            <v>CFS</v>
          </cell>
          <cell r="D42">
            <v>3001</v>
          </cell>
          <cell r="E42" t="str">
            <v>Central Trading Co.,Ltd
3388/25-37 Sirinrat Building,
8th – 11th Floor, Rama IV Road
Klong-Ton, Klong-Toey
Bangkok 10110 Thailand</v>
          </cell>
          <cell r="F42" t="str">
            <v>SAME AS CONSIGNEE</v>
          </cell>
          <cell r="G42" t="str">
            <v>Laem Chabang</v>
          </cell>
        </row>
        <row r="43">
          <cell r="A43" t="str">
            <v>THCY3001</v>
          </cell>
          <cell r="B43" t="str">
            <v>TH</v>
          </cell>
          <cell r="C43" t="str">
            <v>CY</v>
          </cell>
          <cell r="D43">
            <v>3001</v>
          </cell>
          <cell r="E43" t="str">
            <v>Central Trading Co.,Ltd
3388/25-37 Sirinrat Building,
8th – 11th Floor, Rama IV Road
Klong-Ton, Klong-Toey
Bangkok 10110 Thailand</v>
          </cell>
          <cell r="F43" t="str">
            <v>SAME AS CONSIGNEE</v>
          </cell>
          <cell r="G43" t="str">
            <v>Laem Chabang</v>
          </cell>
        </row>
        <row r="44">
          <cell r="A44" t="str">
            <v>LBCFS2003</v>
          </cell>
          <cell r="B44" t="str">
            <v>LB</v>
          </cell>
          <cell r="C44" t="str">
            <v>CFS</v>
          </cell>
          <cell r="D44">
            <v>2003</v>
          </cell>
          <cell r="E44" t="str">
            <v>MIKE SPORT &amp; CO SAL
MIKE SPORT BUILDING
ZALKA HIGHWAY STREET
BEIRUT LEBANON
TEL: 961 1 888855</v>
          </cell>
          <cell r="F44" t="str">
            <v>Same as Consignee</v>
          </cell>
          <cell r="G44" t="str">
            <v>BEIRUT, LEBANON</v>
          </cell>
        </row>
        <row r="45">
          <cell r="A45" t="str">
            <v>LBCY2003</v>
          </cell>
          <cell r="B45" t="str">
            <v>LB</v>
          </cell>
          <cell r="C45" t="str">
            <v>CY</v>
          </cell>
          <cell r="D45">
            <v>2003</v>
          </cell>
          <cell r="E45" t="str">
            <v>MIKE SPORT &amp; CO SAL
MIKE SPORT BUILDING
ZALKA HIGHWAY STREET
BEIRUT LEBANON
TEL: 961 1 888855</v>
          </cell>
          <cell r="F45" t="str">
            <v>Same as Consignee</v>
          </cell>
          <cell r="G45" t="str">
            <v>BEIRUT, LEBANON</v>
          </cell>
        </row>
        <row r="46">
          <cell r="A46" t="str">
            <v>NZCY3001</v>
          </cell>
          <cell r="B46" t="str">
            <v>NZ</v>
          </cell>
          <cell r="C46" t="str">
            <v>CY</v>
          </cell>
          <cell r="D46">
            <v>3001</v>
          </cell>
          <cell r="E46" t="str">
            <v>Liquid Brands
33 Islington Ave
Islington
8042
Christchurch
New Zealand</v>
          </cell>
          <cell r="F46" t="str">
            <v>Same as Consignee</v>
          </cell>
          <cell r="G46" t="str">
            <v>LYTTELTON, NEW ZEALAND</v>
          </cell>
        </row>
        <row r="47">
          <cell r="A47" t="str">
            <v>NZCFS3001</v>
          </cell>
          <cell r="B47" t="str">
            <v>NZ</v>
          </cell>
          <cell r="C47" t="str">
            <v>CFS</v>
          </cell>
          <cell r="D47">
            <v>3001</v>
          </cell>
          <cell r="E47" t="str">
            <v>Liquid Brands
33 Islington Ave
Islington
8042
Christchurch
New Zealand</v>
          </cell>
          <cell r="F47" t="str">
            <v>Same as Consignee</v>
          </cell>
          <cell r="G47" t="str">
            <v>LYTTELTON, NEW ZEALAND</v>
          </cell>
        </row>
        <row r="48">
          <cell r="A48" t="str">
            <v>CHCY2004</v>
          </cell>
          <cell r="B48" t="str">
            <v>CH</v>
          </cell>
          <cell r="C48" t="str">
            <v>CY</v>
          </cell>
          <cell r="D48">
            <v>2004</v>
          </cell>
          <cell r="E48" t="str">
            <v>DLD TRADING AG
THUNSTRASSE 86
CH – 3074 MURI B. BERN
SWITZERLAND</v>
          </cell>
          <cell r="F48" t="str">
            <v>AIT Worldwide Logistics Switzerland AG 
Hofackerstrasse 73-75, 4132 Muttenz,
Switzerland
Office: +41 (61) 568 73 75</v>
          </cell>
          <cell r="G48" t="str">
            <v>ROTTERDAM</v>
          </cell>
        </row>
        <row r="49">
          <cell r="A49" t="str">
            <v>CHCFS2004</v>
          </cell>
          <cell r="B49" t="str">
            <v>CH</v>
          </cell>
          <cell r="C49" t="str">
            <v>CFS</v>
          </cell>
          <cell r="D49">
            <v>2004</v>
          </cell>
          <cell r="E49" t="str">
            <v>DLD TRADING AG
THUNSTRASSE 86
CH – 3074 MURI B. BERN
SWITZERLAND</v>
          </cell>
          <cell r="F49" t="str">
            <v>AIT Worldwide Logistics Switzerland AG 
Hofackerstrasse 73-75, 4132 Muttenz,
Switzerland
Office: +41 (61) 568 73 75</v>
          </cell>
          <cell r="G49" t="str">
            <v>ROTTERDAM</v>
          </cell>
        </row>
        <row r="50">
          <cell r="A50" t="str">
            <v>ILCFS2003</v>
          </cell>
          <cell r="B50" t="str">
            <v>IL</v>
          </cell>
          <cell r="C50" t="str">
            <v>CFS</v>
          </cell>
          <cell r="D50">
            <v>2003</v>
          </cell>
          <cell r="E50" t="str">
            <v>Tammuz trade (1983) ltd
5 BIYALIK ST.
TEL-AVIV 63324
ISRAEL
NEWC</v>
          </cell>
          <cell r="F50" t="str">
            <v>Same as Consignee</v>
          </cell>
          <cell r="G50" t="str">
            <v>ASHDOD</v>
          </cell>
        </row>
        <row r="51">
          <cell r="A51" t="str">
            <v>ILCY2003</v>
          </cell>
          <cell r="B51" t="str">
            <v>IL</v>
          </cell>
          <cell r="C51" t="str">
            <v>CY</v>
          </cell>
          <cell r="D51">
            <v>2003</v>
          </cell>
          <cell r="E51" t="str">
            <v>Tammuz trade (1983) ltd
5 BIYALIK ST.
TEL-AVIV 63324
ISRAEL
NEWC</v>
          </cell>
          <cell r="F51" t="str">
            <v>Same as Consignee</v>
          </cell>
          <cell r="G51" t="str">
            <v>ASHDOD</v>
          </cell>
        </row>
        <row r="52">
          <cell r="A52" t="str">
            <v>TWCFS3001</v>
          </cell>
          <cell r="B52" t="str">
            <v>TW</v>
          </cell>
          <cell r="C52" t="str">
            <v>CFS</v>
          </cell>
          <cell r="D52">
            <v>3001</v>
          </cell>
          <cell r="E52" t="str">
            <v>YO-HENG INTERNATIONAL CO., LTD.
NO.96,  WUFU 1ST RD., XINXING DIST., 
KAOHSIUNG CITY 800,TAIWAN</v>
          </cell>
          <cell r="F52" t="str">
            <v>Same as Consignee</v>
          </cell>
          <cell r="G52" t="str">
            <v>Kaohsiung</v>
          </cell>
        </row>
        <row r="53">
          <cell r="A53" t="str">
            <v>TWCY3001</v>
          </cell>
          <cell r="B53" t="str">
            <v>TW</v>
          </cell>
          <cell r="C53" t="str">
            <v>CY</v>
          </cell>
          <cell r="D53">
            <v>3001</v>
          </cell>
          <cell r="E53" t="str">
            <v>YO-HENG INTERNATIONAL CO., LTD.
NO.96,  WUFU 1ST RD., XINXING DIST., 
KAOHSIUNG CITY 800,TAIWAN</v>
          </cell>
          <cell r="F53" t="str">
            <v>Same as Consignee</v>
          </cell>
          <cell r="G53" t="str">
            <v>Kaohsiung</v>
          </cell>
        </row>
        <row r="54">
          <cell r="A54" t="str">
            <v>USCFS2002</v>
          </cell>
          <cell r="B54" t="str">
            <v>US</v>
          </cell>
          <cell r="C54" t="str">
            <v>CFS</v>
          </cell>
          <cell r="D54">
            <v>2002</v>
          </cell>
          <cell r="E54" t="str">
            <v>Boolchand's LTD
Building 2 Bay B
St. Thomas 00802
Virgin Islands, U.S</v>
          </cell>
          <cell r="F54" t="str">
            <v>LAS INTERNATIONAL CORP
8320 NW 14ST DORAL, FL 33126
PH#305-517-5700
EMAIL: OPERATIONLAS@LASINT.COM</v>
          </cell>
          <cell r="G54" t="str">
            <v>Miami</v>
          </cell>
        </row>
        <row r="55">
          <cell r="A55" t="str">
            <v>USCY2002</v>
          </cell>
          <cell r="B55" t="str">
            <v>US</v>
          </cell>
          <cell r="C55" t="str">
            <v>CY</v>
          </cell>
          <cell r="D55">
            <v>2002</v>
          </cell>
          <cell r="E55" t="str">
            <v>Boolchand's LTD
Building 2 Bay B
St. Thomas 00802
Virgin Islands, U.S</v>
          </cell>
          <cell r="F55" t="str">
            <v>LAS INTERNATIONAL CORP
8320 NW 14ST DORAL, FL 33126
PH#305-517-5700
EMAIL: OPERATIONLAS@LASINT.COM</v>
          </cell>
          <cell r="G55" t="str">
            <v>Miami</v>
          </cell>
        </row>
        <row r="56">
          <cell r="A56" t="str">
            <v>UAECFS2003</v>
          </cell>
          <cell r="B56" t="str">
            <v>UAE</v>
          </cell>
          <cell r="C56" t="str">
            <v>CFS</v>
          </cell>
          <cell r="D56">
            <v>2003</v>
          </cell>
          <cell r="E56" t="str">
            <v>BRANDSINC 
D-11, Block 5, Clifton,
Karachi, Pakistan</v>
          </cell>
          <cell r="F56" t="str">
            <v>Same as consignee</v>
          </cell>
          <cell r="G56" t="str">
            <v>Karachi</v>
          </cell>
        </row>
        <row r="57">
          <cell r="A57" t="str">
            <v>UAECY2003</v>
          </cell>
          <cell r="B57" t="str">
            <v>UAE</v>
          </cell>
          <cell r="C57" t="str">
            <v>CY</v>
          </cell>
          <cell r="D57">
            <v>2003</v>
          </cell>
          <cell r="E57" t="str">
            <v>BRANDSINC 
D-11, Block 5, Clifton,
Karachi, Pakistan</v>
          </cell>
          <cell r="F57" t="str">
            <v>Same as consignee</v>
          </cell>
          <cell r="G57" t="str">
            <v>Karachi</v>
          </cell>
        </row>
        <row r="58">
          <cell r="A58" t="str">
            <v>PHCFS3281</v>
          </cell>
          <cell r="B58" t="str">
            <v>PH</v>
          </cell>
          <cell r="C58" t="str">
            <v>CFS</v>
          </cell>
          <cell r="D58">
            <v>3281</v>
          </cell>
          <cell r="E58" t="str">
            <v>NICECOLORADO CORPORATION U2K 8005
DON JESUS BLDGF OMNI ARCADE ALABANG HILLS
CUPANG MUNTINLUPA CITY 1771 PHILIPPINES</v>
          </cell>
          <cell r="F58" t="str">
            <v>Same as consignee</v>
          </cell>
          <cell r="G58" t="str">
            <v>Manila</v>
          </cell>
        </row>
        <row r="59">
          <cell r="A59" t="str">
            <v>PHCY3281</v>
          </cell>
          <cell r="B59" t="str">
            <v>PH</v>
          </cell>
          <cell r="C59" t="str">
            <v>CY</v>
          </cell>
          <cell r="D59">
            <v>3281</v>
          </cell>
          <cell r="E59" t="str">
            <v>NICECOLORADO CORPORATION U2K 8005
DON JESUS BLDGF OMNI ARCADE ALABANG HILLS
CUPANG MUNTINLUPA CITY 1771 PHILIPPINES</v>
          </cell>
          <cell r="F59" t="str">
            <v>Same as consignee</v>
          </cell>
          <cell r="G59" t="str">
            <v>Manila</v>
          </cell>
        </row>
        <row r="60">
          <cell r="A60" t="str">
            <v>PECFS2002</v>
          </cell>
          <cell r="B60" t="str">
            <v>PE</v>
          </cell>
          <cell r="C60" t="str">
            <v>CFS</v>
          </cell>
          <cell r="D60">
            <v>2002</v>
          </cell>
          <cell r="E60" t="str">
            <v>GRETEL INTERNATIONAL SAC
AV. SANTA CRUZ 466, PISO 5. SAN ISIDRO.
LIMA-PERU RUC 20601664489
ATTN: JACQUELINE LEONARD TEL. +51 945 265 363</v>
          </cell>
          <cell r="F60" t="str">
            <v>Same as consignee</v>
          </cell>
          <cell r="G60" t="str">
            <v>Callao</v>
          </cell>
        </row>
        <row r="61">
          <cell r="A61" t="str">
            <v>PECY2002</v>
          </cell>
          <cell r="B61" t="str">
            <v>PE</v>
          </cell>
          <cell r="C61" t="str">
            <v>CY</v>
          </cell>
          <cell r="D61">
            <v>2002</v>
          </cell>
          <cell r="E61" t="str">
            <v>GRETEL INTERNATIONAL SAC
AV. SANTA CRUZ 466, PISO 5. SAN ISIDRO.
LIMA-PERU RUC 20601664489
ATTN: JACQUELINE LEONARD TEL. +51 945 265 363</v>
          </cell>
          <cell r="F61" t="str">
            <v>Same as consignee</v>
          </cell>
          <cell r="G61" t="str">
            <v>Callao</v>
          </cell>
        </row>
        <row r="62">
          <cell r="A62" t="str">
            <v>CNHKCFS3001</v>
          </cell>
          <cell r="B62" t="str">
            <v>CNHK</v>
          </cell>
          <cell r="C62" t="str">
            <v>CFS</v>
          </cell>
          <cell r="D62">
            <v>3001</v>
          </cell>
          <cell r="E62" t="str">
            <v>SWIRE RESOURCES LTD
12/F PAK SIK GODOWN NO. 2 , 
15-29 WO SHUI STREET FOTAN N.T. HONG KONG . 
TEL: 852-22568321 /22568319  
CONTACT: CATHERINE TANG/VINCCI LEUNG</v>
          </cell>
          <cell r="F62" t="str">
            <v>Same as Consignee</v>
          </cell>
          <cell r="G62" t="str">
            <v>Hong Kong</v>
          </cell>
        </row>
        <row r="63">
          <cell r="A63" t="str">
            <v>CNHKCY3001</v>
          </cell>
          <cell r="B63" t="str">
            <v>CNHK</v>
          </cell>
          <cell r="C63" t="str">
            <v>CY</v>
          </cell>
          <cell r="D63">
            <v>3001</v>
          </cell>
          <cell r="E63" t="str">
            <v>ZHONGSHAN SHI YI ZHOU LOGISTICS CO.LTD. 
YIZHOU WREHOUSE,JUNFA STREET, MINZHONG TOWN, 
ZHONGSHAN CITY, MINZHONG TOWN, ZHONGSHAN CITY, 
GUANGDONG, CHINA.
TEL: 8613680250362 CONTACT MR.MING LAI</v>
          </cell>
          <cell r="F63" t="str">
            <v>ROOM 810-811, COMPREHENSIVE OFFICE BUILDING, 
ZHONGSHAN BONDED LOGISTICS CENTER,
YANGGUANG ROAD, 
TEL: 86-13680250362 CONTACT MR. MING LAI</v>
          </cell>
          <cell r="G63" t="str">
            <v>Hong Kong</v>
          </cell>
        </row>
        <row r="64">
          <cell r="A64" t="str">
            <v>DOCFS2002</v>
          </cell>
          <cell r="B64" t="str">
            <v>DO</v>
          </cell>
          <cell r="C64" t="str">
            <v>CFS</v>
          </cell>
          <cell r="D64">
            <v>2002</v>
          </cell>
          <cell r="E64" t="str">
            <v>INVERSIONES VAR SRL
RNC# 132052218
ROBERTO PASTORIZA # 700, EVARISTO MORALES
TEL:809-732-9708</v>
          </cell>
          <cell r="F64" t="str">
            <v>ECARGO LOGISTISC SRL
RNC# 132054474
EDWIN ESTEVEZ
EDWIN.ESTEVEZ@ECARGO.DO
TEL. 8293420087</v>
          </cell>
          <cell r="G64" t="str">
            <v>CAUCEDO</v>
          </cell>
        </row>
        <row r="65">
          <cell r="A65" t="str">
            <v>DOCY2002</v>
          </cell>
          <cell r="B65" t="str">
            <v>DO</v>
          </cell>
          <cell r="C65" t="str">
            <v>CY</v>
          </cell>
          <cell r="D65">
            <v>2002</v>
          </cell>
          <cell r="E65" t="str">
            <v>INVERSIONES VAR SRL
RNC# 132052218
ROBERTO PASTORIZA # 700, EVARISTO MORALES
TEL:809-732-9708</v>
          </cell>
          <cell r="F65" t="str">
            <v>ECARGO LOGISTISC SRL
RNC# 132054474
EDWIN ESTEVEZ
EDWIN.ESTEVEZ@ECARGO.DO
TEL. 8293420087</v>
          </cell>
          <cell r="G65" t="str">
            <v>CAUCEDO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75"/>
  <sheetViews>
    <sheetView tabSelected="1" zoomScale="80" zoomScaleNormal="80" workbookViewId="0">
      <pane xSplit="3" ySplit="1" topLeftCell="G26" activePane="bottomRight" state="frozen"/>
      <selection pane="topRight"/>
      <selection pane="bottomLeft"/>
      <selection pane="bottomRight" activeCell="I76" sqref="I76"/>
    </sheetView>
  </sheetViews>
  <sheetFormatPr defaultColWidth="9" defaultRowHeight="15"/>
  <cols>
    <col min="1" max="1" width="19.140625" customWidth="1"/>
    <col min="2" max="2" width="16.140625" customWidth="1"/>
    <col min="3" max="3" width="13.85546875" customWidth="1"/>
    <col min="4" max="4" width="10.28515625" customWidth="1"/>
    <col min="5" max="5" width="13.5703125" customWidth="1"/>
    <col min="6" max="6" width="14.28515625" customWidth="1"/>
    <col min="9" max="9" width="13.28515625" customWidth="1"/>
    <col min="10" max="10" width="29.5703125" customWidth="1"/>
    <col min="11" max="11" width="11.140625" customWidth="1"/>
    <col min="15" max="15" width="19.28515625" customWidth="1"/>
    <col min="16" max="16" width="8.42578125" customWidth="1"/>
    <col min="17" max="17" width="11" customWidth="1"/>
    <col min="18" max="18" width="15" customWidth="1"/>
    <col min="21" max="21" width="9.5703125"/>
    <col min="22" max="22" width="14.42578125" customWidth="1"/>
    <col min="24" max="24" width="11.5703125" customWidth="1"/>
    <col min="25" max="25" width="17.28515625" customWidth="1"/>
    <col min="26" max="26" width="20.5703125" customWidth="1"/>
    <col min="27" max="27" width="19.42578125" customWidth="1"/>
    <col min="28" max="28" width="8.28515625" customWidth="1"/>
    <col min="29" max="29" width="19.42578125" customWidth="1"/>
    <col min="30" max="44" width="12" customWidth="1"/>
    <col min="45" max="45" width="12" style="9" customWidth="1"/>
    <col min="46" max="46" width="12" style="10" customWidth="1"/>
    <col min="47" max="47" width="12" style="11" customWidth="1"/>
    <col min="48" max="48" width="12" style="9" customWidth="1"/>
    <col min="49" max="50" width="12" customWidth="1"/>
    <col min="51" max="51" width="19.42578125" customWidth="1"/>
    <col min="53" max="53" width="10.5703125" customWidth="1"/>
    <col min="60" max="60" width="10.7109375" style="9" customWidth="1"/>
    <col min="61" max="61" width="11.28515625" style="9" customWidth="1"/>
  </cols>
  <sheetData>
    <row r="1" spans="1:61" ht="63">
      <c r="A1" s="12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26" t="s">
        <v>8</v>
      </c>
      <c r="J1" s="26" t="s">
        <v>9</v>
      </c>
      <c r="K1" s="26" t="s">
        <v>10</v>
      </c>
      <c r="L1" s="13" t="s">
        <v>11</v>
      </c>
      <c r="M1" s="27" t="s">
        <v>12</v>
      </c>
      <c r="N1" s="26" t="s">
        <v>13</v>
      </c>
      <c r="O1" s="28" t="s">
        <v>14</v>
      </c>
      <c r="P1" s="29" t="s">
        <v>15</v>
      </c>
      <c r="Q1" s="31" t="s">
        <v>16</v>
      </c>
      <c r="R1" s="29" t="s">
        <v>17</v>
      </c>
      <c r="S1" s="31" t="s">
        <v>18</v>
      </c>
      <c r="T1" s="31" t="s">
        <v>19</v>
      </c>
      <c r="U1" s="31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/>
      <c r="AC1" s="33" t="s">
        <v>27</v>
      </c>
      <c r="AD1" s="34" t="s">
        <v>28</v>
      </c>
      <c r="AE1" s="35" t="s">
        <v>29</v>
      </c>
      <c r="AF1" s="34"/>
      <c r="AG1" s="43" t="s">
        <v>30</v>
      </c>
      <c r="AH1" s="29"/>
      <c r="AI1" s="29" t="s">
        <v>31</v>
      </c>
      <c r="AJ1" s="29" t="s">
        <v>32</v>
      </c>
      <c r="AK1" s="31" t="s">
        <v>33</v>
      </c>
      <c r="AL1" s="31" t="s">
        <v>34</v>
      </c>
      <c r="AM1" s="31" t="s">
        <v>35</v>
      </c>
      <c r="AN1" s="31" t="s">
        <v>36</v>
      </c>
      <c r="AO1" s="50" t="s">
        <v>37</v>
      </c>
      <c r="AP1" s="31" t="s">
        <v>38</v>
      </c>
      <c r="AQ1" s="31" t="s">
        <v>39</v>
      </c>
      <c r="AR1" s="31" t="s">
        <v>40</v>
      </c>
      <c r="AS1" s="51" t="s">
        <v>41</v>
      </c>
      <c r="AT1" s="52" t="s">
        <v>42</v>
      </c>
      <c r="AU1" s="52" t="s">
        <v>43</v>
      </c>
      <c r="AV1" s="51" t="s">
        <v>44</v>
      </c>
      <c r="AW1" s="51" t="s">
        <v>45</v>
      </c>
      <c r="AX1" s="31" t="s">
        <v>46</v>
      </c>
      <c r="AY1" s="55"/>
      <c r="AZ1" s="7" t="s">
        <v>47</v>
      </c>
      <c r="BA1" s="7" t="s">
        <v>48</v>
      </c>
      <c r="BB1" s="7" t="s">
        <v>49</v>
      </c>
      <c r="BC1" s="7" t="s">
        <v>50</v>
      </c>
      <c r="BF1" s="8" t="s">
        <v>51</v>
      </c>
      <c r="BH1" s="8" t="s">
        <v>52</v>
      </c>
      <c r="BI1" s="8" t="s">
        <v>53</v>
      </c>
    </row>
    <row r="2" spans="1:61" ht="15" customHeight="1">
      <c r="A2" s="15" t="s">
        <v>404</v>
      </c>
      <c r="B2" s="16" t="s">
        <v>154</v>
      </c>
      <c r="C2" s="17" t="s">
        <v>155</v>
      </c>
      <c r="D2" s="18">
        <v>46234</v>
      </c>
      <c r="E2" s="20" t="s">
        <v>156</v>
      </c>
      <c r="F2" s="19" t="s">
        <v>157</v>
      </c>
      <c r="G2" s="19" t="s">
        <v>54</v>
      </c>
      <c r="H2" s="21" t="s">
        <v>55</v>
      </c>
      <c r="I2" s="19" t="s">
        <v>158</v>
      </c>
      <c r="J2" s="19" t="s">
        <v>159</v>
      </c>
      <c r="K2" s="21">
        <v>46128</v>
      </c>
      <c r="L2" s="30">
        <v>3091</v>
      </c>
      <c r="M2" s="19" t="s">
        <v>160</v>
      </c>
      <c r="N2" s="19" t="s">
        <v>56</v>
      </c>
      <c r="O2" s="19" t="s">
        <v>161</v>
      </c>
      <c r="P2" s="24" t="s">
        <v>162</v>
      </c>
      <c r="Q2" s="19">
        <v>2</v>
      </c>
      <c r="R2" s="19">
        <v>24</v>
      </c>
      <c r="S2" s="19">
        <v>0.16500000000000001</v>
      </c>
      <c r="T2" s="19">
        <v>10.949</v>
      </c>
      <c r="U2" s="19">
        <v>12.7744</v>
      </c>
      <c r="V2" s="19">
        <v>4.75</v>
      </c>
      <c r="W2" s="19">
        <v>2.8000000000000001E-2</v>
      </c>
      <c r="X2" s="19">
        <v>0.08</v>
      </c>
      <c r="Y2" s="36">
        <v>4.72</v>
      </c>
      <c r="Z2" s="36">
        <v>116.592</v>
      </c>
      <c r="AA2" s="36">
        <v>113.28</v>
      </c>
      <c r="AB2" s="37"/>
      <c r="AC2" s="38"/>
      <c r="AD2" s="39"/>
      <c r="AE2" s="39"/>
      <c r="AF2" s="40"/>
      <c r="AG2" s="40"/>
      <c r="AH2" s="41"/>
      <c r="AI2" s="44"/>
      <c r="AJ2" s="45"/>
      <c r="AK2" s="41"/>
      <c r="AL2" s="41"/>
      <c r="AM2" s="39"/>
      <c r="AN2" s="46"/>
      <c r="AO2" s="53"/>
      <c r="AP2" s="41"/>
      <c r="AQ2" s="41"/>
      <c r="AR2" s="41"/>
      <c r="AS2" s="10"/>
      <c r="AV2" s="10"/>
      <c r="AW2" s="56"/>
      <c r="AX2" s="5"/>
      <c r="AY2" s="5"/>
      <c r="AZ2" t="str">
        <f>IF(LEN(A2)=9,MID(A2,FIND("-",A2)+1,FIND("-",A2,FIND("-",A2)+1)-FIND("-",A2)-1),IF(LEN(A2)=10,MID(A2,FIND("-",A2)+1,FIND("-",A2,FIND("-",A2)+1)-FIND("-",A2)-1),IF(LEN(A2)=12,MID(A2,FIND("-",A2,FIND("-",A2)+1)+1,FIND("-",A2,FIND("-",A2,FIND("-",A2)+1)+1)-FIND("-",A2,FIND("-",A2)+1)-1),IF(LEN(A2)=13,MID(A2,FIND("-",A2,FIND("-",A2)+1)+1,FIND("-",A2,FIND("-",A2,FIND("-",A2)+1)+1)-FIND("-",A2,FIND("-",A2)+1)-1),IF(LEN(A2)=14,MID(A2,FIND("-",A2,FIND("-",A2)+1)+1,FIND("-",A2,FIND("-",A2,FIND("-",A2)+1)+1)-FIND("-",A2,FIND("-",A2)+1)-1),"")))))</f>
        <v>CN</v>
      </c>
      <c r="BA2" t="str">
        <f>IFERROR("TL."&amp;RIGHT(A2,3)&amp;" "&amp;TRIM(MID(SUBSTITUTE(A2,"-",REPT(" ",100)),LEN(SUBSTITUTE(A2,"-",REPT(" ",100)))-200,100)),"")</f>
        <v>TL.005 CN</v>
      </c>
      <c r="BB2" t="str">
        <f>IFERROR(LEFT(A2,FIND("-",A2)-1),"")</f>
        <v>CFS</v>
      </c>
      <c r="BC2" t="str">
        <f>IFERROR(VLOOKUP(BF2,[1]Sheet1!$A:$G,7,FALSE),"")</f>
        <v>SHANGHAI</v>
      </c>
      <c r="BF2" t="str">
        <f>AZ2&amp;BB2&amp;L2</f>
        <v>CNCFS3091</v>
      </c>
      <c r="BH2" s="9">
        <f>IFERROR(IF(LEFT(I2,FIND("-",I2)-1)="211354",640419,640299),"")</f>
        <v>640299</v>
      </c>
      <c r="BI2" s="10" t="str">
        <f>IF(BH2&lt;&gt;"",BH2&amp;90,"")</f>
        <v>64029990</v>
      </c>
    </row>
    <row r="3" spans="1:61" ht="15" customHeight="1">
      <c r="A3" s="15" t="s">
        <v>404</v>
      </c>
      <c r="B3" s="16" t="s">
        <v>154</v>
      </c>
      <c r="C3" s="17" t="s">
        <v>155</v>
      </c>
      <c r="D3" s="18">
        <v>46234</v>
      </c>
      <c r="E3" s="20" t="s">
        <v>163</v>
      </c>
      <c r="F3" s="19" t="s">
        <v>164</v>
      </c>
      <c r="G3" s="19" t="s">
        <v>54</v>
      </c>
      <c r="H3" s="21" t="s">
        <v>55</v>
      </c>
      <c r="I3" s="19" t="s">
        <v>165</v>
      </c>
      <c r="J3" s="19" t="s">
        <v>166</v>
      </c>
      <c r="K3" s="21">
        <v>46128</v>
      </c>
      <c r="L3" s="30">
        <v>3091</v>
      </c>
      <c r="M3" s="19" t="s">
        <v>160</v>
      </c>
      <c r="N3" s="19" t="s">
        <v>56</v>
      </c>
      <c r="O3" s="19" t="s">
        <v>167</v>
      </c>
      <c r="P3" s="24" t="s">
        <v>162</v>
      </c>
      <c r="Q3" s="19">
        <v>5</v>
      </c>
      <c r="R3" s="19">
        <v>120</v>
      </c>
      <c r="S3" s="19">
        <v>0.24399999999999999</v>
      </c>
      <c r="T3" s="19">
        <v>23.228000000000002</v>
      </c>
      <c r="U3" s="19">
        <v>26.6448</v>
      </c>
      <c r="V3" s="19">
        <v>3.22</v>
      </c>
      <c r="W3" s="19">
        <v>2.8000000000000001E-2</v>
      </c>
      <c r="X3" s="19">
        <v>0.08</v>
      </c>
      <c r="Y3" s="36">
        <v>3.23</v>
      </c>
      <c r="Z3" s="36">
        <v>399.36</v>
      </c>
      <c r="AA3" s="36">
        <v>387.6</v>
      </c>
      <c r="AB3" s="37"/>
      <c r="AC3" s="38"/>
      <c r="AD3" s="39"/>
      <c r="AE3" s="39"/>
      <c r="AF3" s="40"/>
      <c r="AG3" s="40"/>
      <c r="AH3" s="41"/>
      <c r="AI3" s="44"/>
      <c r="AJ3" s="45"/>
      <c r="AK3" s="41"/>
      <c r="AL3" s="41"/>
      <c r="AM3" s="39"/>
      <c r="AN3" s="46"/>
      <c r="AO3" s="53"/>
      <c r="AP3" s="41"/>
      <c r="AQ3" s="41"/>
      <c r="AR3" s="41"/>
      <c r="AS3" s="10"/>
      <c r="AV3" s="10"/>
      <c r="AW3" s="56"/>
      <c r="AX3" s="5"/>
      <c r="AY3" s="5"/>
      <c r="AZ3" t="str">
        <f t="shared" ref="AZ3:AZ38" si="0">IF(LEN(A3)=9,MID(A3,FIND("-",A3)+1,FIND("-",A3,FIND("-",A3)+1)-FIND("-",A3)-1),IF(LEN(A3)=10,MID(A3,FIND("-",A3)+1,FIND("-",A3,FIND("-",A3)+1)-FIND("-",A3)-1),IF(LEN(A3)=12,MID(A3,FIND("-",A3,FIND("-",A3)+1)+1,FIND("-",A3,FIND("-",A3,FIND("-",A3)+1)+1)-FIND("-",A3,FIND("-",A3)+1)-1),IF(LEN(A3)=13,MID(A3,FIND("-",A3,FIND("-",A3)+1)+1,FIND("-",A3,FIND("-",A3,FIND("-",A3)+1)+1)-FIND("-",A3,FIND("-",A3)+1)-1),IF(LEN(A3)=14,MID(A3,FIND("-",A3,FIND("-",A3)+1)+1,FIND("-",A3,FIND("-",A3,FIND("-",A3)+1)+1)-FIND("-",A3,FIND("-",A3)+1)-1),"")))))</f>
        <v>CN</v>
      </c>
      <c r="BA3" t="str">
        <f t="shared" ref="BA3:BA38" si="1">IFERROR("TL."&amp;RIGHT(A3,3)&amp;" "&amp;TRIM(MID(SUBSTITUTE(A3,"-",REPT(" ",100)),LEN(SUBSTITUTE(A3,"-",REPT(" ",100)))-200,100)),"")</f>
        <v>TL.005 CN</v>
      </c>
      <c r="BB3" t="str">
        <f t="shared" ref="BB3:BB38" si="2">IFERROR(LEFT(A3,FIND("-",A3)-1),"")</f>
        <v>CFS</v>
      </c>
      <c r="BC3" t="str">
        <f>IFERROR(VLOOKUP(BF3,[1]Sheet1!$A:$G,7,FALSE),"")</f>
        <v>SHANGHAI</v>
      </c>
      <c r="BF3" t="str">
        <f t="shared" ref="BF3:BF37" si="3">AZ3&amp;BB3&amp;L3</f>
        <v>CNCFS3091</v>
      </c>
      <c r="BH3" s="9">
        <f t="shared" ref="BH3:BH38" si="4">IFERROR(IF(LEFT(I3,FIND("-",I3)-1)="211354",640419,640299),"")</f>
        <v>640299</v>
      </c>
      <c r="BI3" s="10" t="str">
        <f t="shared" ref="BI3:BI38" si="5">IF(BH3&lt;&gt;"",BH3&amp;90,"")</f>
        <v>64029990</v>
      </c>
    </row>
    <row r="4" spans="1:61" ht="15" customHeight="1">
      <c r="A4" s="15" t="s">
        <v>404</v>
      </c>
      <c r="B4" s="16" t="s">
        <v>154</v>
      </c>
      <c r="C4" s="17" t="s">
        <v>155</v>
      </c>
      <c r="D4" s="18">
        <v>46234</v>
      </c>
      <c r="E4" s="20" t="s">
        <v>168</v>
      </c>
      <c r="F4" s="19" t="s">
        <v>169</v>
      </c>
      <c r="G4" s="19" t="s">
        <v>54</v>
      </c>
      <c r="H4" s="21" t="s">
        <v>55</v>
      </c>
      <c r="I4" s="19" t="s">
        <v>77</v>
      </c>
      <c r="J4" s="19" t="s">
        <v>78</v>
      </c>
      <c r="K4" s="21">
        <v>46128</v>
      </c>
      <c r="L4" s="30">
        <v>3091</v>
      </c>
      <c r="M4" s="19" t="s">
        <v>160</v>
      </c>
      <c r="N4" s="19" t="s">
        <v>56</v>
      </c>
      <c r="O4" s="19" t="s">
        <v>170</v>
      </c>
      <c r="P4" s="24" t="s">
        <v>162</v>
      </c>
      <c r="Q4" s="19">
        <v>3</v>
      </c>
      <c r="R4" s="19">
        <v>72</v>
      </c>
      <c r="S4" s="19">
        <v>0.23699999999999999</v>
      </c>
      <c r="T4" s="19">
        <v>20.728000000000002</v>
      </c>
      <c r="U4" s="19">
        <v>23.364000000000001</v>
      </c>
      <c r="V4" s="19">
        <v>3.61</v>
      </c>
      <c r="W4" s="19">
        <v>2.8000000000000001E-2</v>
      </c>
      <c r="X4" s="19">
        <v>0.08</v>
      </c>
      <c r="Y4" s="36">
        <v>3.61</v>
      </c>
      <c r="Z4" s="36">
        <v>267.69600000000003</v>
      </c>
      <c r="AA4" s="36">
        <v>259.92</v>
      </c>
      <c r="AB4" s="37"/>
      <c r="AC4" s="38"/>
      <c r="AD4" s="39"/>
      <c r="AE4" s="39"/>
      <c r="AF4" s="40"/>
      <c r="AG4" s="40"/>
      <c r="AH4" s="41"/>
      <c r="AI4" s="44"/>
      <c r="AJ4" s="45"/>
      <c r="AK4" s="41"/>
      <c r="AL4" s="41"/>
      <c r="AM4" s="39"/>
      <c r="AN4" s="46"/>
      <c r="AO4" s="53"/>
      <c r="AP4" s="41"/>
      <c r="AQ4" s="41"/>
      <c r="AR4" s="41"/>
      <c r="AS4" s="10"/>
      <c r="AV4" s="10"/>
      <c r="AW4" s="56"/>
      <c r="AX4" s="5"/>
      <c r="AY4" s="5"/>
      <c r="AZ4" t="str">
        <f t="shared" si="0"/>
        <v>CN</v>
      </c>
      <c r="BA4" t="str">
        <f t="shared" si="1"/>
        <v>TL.005 CN</v>
      </c>
      <c r="BB4" t="str">
        <f t="shared" si="2"/>
        <v>CFS</v>
      </c>
      <c r="BC4" t="str">
        <f>IFERROR(VLOOKUP(BF4,[1]Sheet1!$A:$G,7,FALSE),"")</f>
        <v>SHANGHAI</v>
      </c>
      <c r="BF4" t="str">
        <f t="shared" si="3"/>
        <v>CNCFS3091</v>
      </c>
      <c r="BH4" s="9">
        <f t="shared" si="4"/>
        <v>640299</v>
      </c>
      <c r="BI4" s="10" t="str">
        <f t="shared" si="5"/>
        <v>64029990</v>
      </c>
    </row>
    <row r="5" spans="1:61" ht="15" customHeight="1">
      <c r="A5" s="15" t="s">
        <v>404</v>
      </c>
      <c r="B5" s="16" t="s">
        <v>154</v>
      </c>
      <c r="C5" s="17" t="s">
        <v>155</v>
      </c>
      <c r="D5" s="18">
        <v>46234</v>
      </c>
      <c r="E5" s="20" t="s">
        <v>171</v>
      </c>
      <c r="F5" s="19" t="s">
        <v>172</v>
      </c>
      <c r="G5" s="19" t="s">
        <v>54</v>
      </c>
      <c r="H5" s="21" t="s">
        <v>55</v>
      </c>
      <c r="I5" s="19" t="s">
        <v>75</v>
      </c>
      <c r="J5" s="19" t="s">
        <v>76</v>
      </c>
      <c r="K5" s="21">
        <v>46128</v>
      </c>
      <c r="L5" s="30">
        <v>3091</v>
      </c>
      <c r="M5" s="19" t="s">
        <v>160</v>
      </c>
      <c r="N5" s="19" t="s">
        <v>56</v>
      </c>
      <c r="O5" s="19" t="s">
        <v>170</v>
      </c>
      <c r="P5" s="24" t="s">
        <v>162</v>
      </c>
      <c r="Q5" s="19">
        <v>2</v>
      </c>
      <c r="R5" s="19">
        <v>48</v>
      </c>
      <c r="S5" s="19">
        <v>0.17</v>
      </c>
      <c r="T5" s="19">
        <v>13.614000000000001</v>
      </c>
      <c r="U5" s="19">
        <v>15.426399999999999</v>
      </c>
      <c r="V5" s="19">
        <v>3.61</v>
      </c>
      <c r="W5" s="19">
        <v>2.8000000000000001E-2</v>
      </c>
      <c r="X5" s="19">
        <v>0.08</v>
      </c>
      <c r="Y5" s="36">
        <v>3.61</v>
      </c>
      <c r="Z5" s="36">
        <v>178.464</v>
      </c>
      <c r="AA5" s="36">
        <v>173.28</v>
      </c>
      <c r="AB5" s="37"/>
      <c r="AC5" s="38"/>
      <c r="AD5" s="39"/>
      <c r="AE5" s="39"/>
      <c r="AF5" s="40"/>
      <c r="AG5" s="40"/>
      <c r="AH5" s="41"/>
      <c r="AI5" s="44"/>
      <c r="AJ5" s="45"/>
      <c r="AK5" s="41"/>
      <c r="AL5" s="41"/>
      <c r="AM5" s="39"/>
      <c r="AN5" s="46"/>
      <c r="AO5" s="53"/>
      <c r="AP5" s="41"/>
      <c r="AQ5" s="41"/>
      <c r="AR5" s="41"/>
      <c r="AS5" s="10"/>
      <c r="AV5" s="10"/>
      <c r="AW5" s="56"/>
      <c r="AX5" s="5"/>
      <c r="AY5" s="5"/>
      <c r="AZ5" t="str">
        <f t="shared" si="0"/>
        <v>CN</v>
      </c>
      <c r="BA5" t="str">
        <f t="shared" si="1"/>
        <v>TL.005 CN</v>
      </c>
      <c r="BB5" t="str">
        <f t="shared" si="2"/>
        <v>CFS</v>
      </c>
      <c r="BC5" t="str">
        <f>IFERROR(VLOOKUP(BF5,[1]Sheet1!$A:$G,7,FALSE),"")</f>
        <v>SHANGHAI</v>
      </c>
      <c r="BF5" t="str">
        <f t="shared" si="3"/>
        <v>CNCFS3091</v>
      </c>
      <c r="BH5" s="9">
        <f t="shared" si="4"/>
        <v>640299</v>
      </c>
      <c r="BI5" s="10" t="str">
        <f t="shared" si="5"/>
        <v>64029990</v>
      </c>
    </row>
    <row r="6" spans="1:61" ht="15" customHeight="1">
      <c r="A6" s="15"/>
      <c r="B6" s="16"/>
      <c r="C6" s="17"/>
      <c r="D6" s="18"/>
      <c r="E6" s="19"/>
      <c r="F6" s="19"/>
      <c r="G6" s="19"/>
      <c r="H6" s="19"/>
      <c r="I6" s="19"/>
      <c r="J6" s="19"/>
      <c r="K6" s="21"/>
      <c r="L6" s="30"/>
      <c r="M6" s="19"/>
      <c r="N6" s="19"/>
      <c r="O6" s="19"/>
      <c r="P6" s="24"/>
      <c r="Q6" s="19"/>
      <c r="R6" s="19"/>
      <c r="S6" s="19"/>
      <c r="T6" s="19"/>
      <c r="U6" s="19"/>
      <c r="V6" s="19"/>
      <c r="W6" s="19"/>
      <c r="X6" s="19"/>
      <c r="Y6" s="36"/>
      <c r="Z6" s="36"/>
      <c r="AA6" s="36"/>
      <c r="AB6" s="37"/>
      <c r="AC6" s="38"/>
      <c r="AD6" s="39"/>
      <c r="AE6" s="39"/>
      <c r="AF6" s="40"/>
      <c r="AG6" s="40"/>
      <c r="AH6" s="41"/>
      <c r="AI6" s="44"/>
      <c r="AJ6" s="45"/>
      <c r="AK6" s="41"/>
      <c r="AL6" s="41"/>
      <c r="AM6" s="39"/>
      <c r="AN6" s="46"/>
      <c r="AO6" s="53"/>
      <c r="AP6" s="41"/>
      <c r="AQ6" s="41"/>
      <c r="AR6" s="41"/>
      <c r="AS6" s="10"/>
      <c r="AV6" s="10"/>
      <c r="AW6" s="56"/>
      <c r="AX6" s="5"/>
      <c r="AY6" s="5"/>
      <c r="AZ6" t="str">
        <f t="shared" si="0"/>
        <v/>
      </c>
      <c r="BA6" t="str">
        <f t="shared" si="1"/>
        <v/>
      </c>
      <c r="BB6" t="str">
        <f t="shared" si="2"/>
        <v/>
      </c>
      <c r="BC6" t="str">
        <f>IFERROR(VLOOKUP(BF6,[1]Sheet1!$A:$G,7,FALSE),"")</f>
        <v/>
      </c>
      <c r="BF6" t="str">
        <f t="shared" si="3"/>
        <v/>
      </c>
      <c r="BH6" s="9" t="str">
        <f t="shared" si="4"/>
        <v/>
      </c>
      <c r="BI6" s="10" t="str">
        <f t="shared" si="5"/>
        <v/>
      </c>
    </row>
    <row r="7" spans="1:61" ht="15" customHeight="1">
      <c r="A7" s="15" t="s">
        <v>404</v>
      </c>
      <c r="B7" s="16" t="s">
        <v>173</v>
      </c>
      <c r="C7" s="17" t="s">
        <v>174</v>
      </c>
      <c r="D7" s="18">
        <v>46234</v>
      </c>
      <c r="E7" s="20" t="s">
        <v>175</v>
      </c>
      <c r="F7" s="19" t="s">
        <v>176</v>
      </c>
      <c r="G7" s="19" t="s">
        <v>63</v>
      </c>
      <c r="H7" s="21" t="s">
        <v>55</v>
      </c>
      <c r="I7" s="19" t="s">
        <v>177</v>
      </c>
      <c r="J7" s="19" t="s">
        <v>178</v>
      </c>
      <c r="K7" s="21">
        <v>46181</v>
      </c>
      <c r="L7" s="30">
        <v>3121</v>
      </c>
      <c r="M7" s="19" t="s">
        <v>160</v>
      </c>
      <c r="N7" s="19" t="s">
        <v>56</v>
      </c>
      <c r="O7" s="19" t="s">
        <v>179</v>
      </c>
      <c r="P7" s="24" t="s">
        <v>162</v>
      </c>
      <c r="Q7" s="19">
        <v>44</v>
      </c>
      <c r="R7" s="19">
        <v>519</v>
      </c>
      <c r="S7" s="19">
        <v>2.327</v>
      </c>
      <c r="T7" s="19">
        <v>140.13</v>
      </c>
      <c r="U7" s="19">
        <v>170.83949999999999</v>
      </c>
      <c r="V7" s="19">
        <v>2.42</v>
      </c>
      <c r="W7" s="19">
        <v>2.8000000000000001E-2</v>
      </c>
      <c r="X7" s="19">
        <v>0.08</v>
      </c>
      <c r="Y7" s="36">
        <v>2.4500000000000002</v>
      </c>
      <c r="Z7" s="36">
        <v>1312.0319999999999</v>
      </c>
      <c r="AA7" s="36">
        <v>1271.55</v>
      </c>
      <c r="AB7" s="37"/>
      <c r="AC7" s="38"/>
      <c r="AD7" s="39"/>
      <c r="AE7" s="39"/>
      <c r="AF7" s="40"/>
      <c r="AG7" s="40"/>
      <c r="AH7" s="41"/>
      <c r="AI7" s="44"/>
      <c r="AJ7" s="45"/>
      <c r="AK7" s="41"/>
      <c r="AL7" s="41"/>
      <c r="AM7" s="39"/>
      <c r="AN7" s="46"/>
      <c r="AO7" s="53"/>
      <c r="AP7" s="41"/>
      <c r="AQ7" s="41"/>
      <c r="AR7" s="41"/>
      <c r="AS7" s="10"/>
      <c r="AV7" s="10"/>
      <c r="AW7" s="56"/>
      <c r="AX7" s="5"/>
      <c r="AY7" s="5"/>
      <c r="AZ7" t="str">
        <f t="shared" si="0"/>
        <v>CN</v>
      </c>
      <c r="BA7" t="str">
        <f t="shared" si="1"/>
        <v>TL.005 CN</v>
      </c>
      <c r="BB7" t="str">
        <f t="shared" si="2"/>
        <v>CFS</v>
      </c>
      <c r="BC7" t="str">
        <f>IFERROR(VLOOKUP(BF7,[1]Sheet1!$A:$G,7,FALSE),"")</f>
        <v>SHANGHAI</v>
      </c>
      <c r="BF7" t="str">
        <f t="shared" si="3"/>
        <v>CNCFS3121</v>
      </c>
      <c r="BH7" s="9">
        <f t="shared" si="4"/>
        <v>640299</v>
      </c>
      <c r="BI7" s="10" t="str">
        <f t="shared" si="5"/>
        <v>64029990</v>
      </c>
    </row>
    <row r="8" spans="1:61" ht="15" customHeight="1">
      <c r="A8" s="15" t="s">
        <v>404</v>
      </c>
      <c r="B8" s="16" t="s">
        <v>173</v>
      </c>
      <c r="C8" s="17" t="s">
        <v>174</v>
      </c>
      <c r="D8" s="18">
        <v>46234</v>
      </c>
      <c r="E8" s="20" t="s">
        <v>180</v>
      </c>
      <c r="F8" s="19" t="s">
        <v>181</v>
      </c>
      <c r="G8" s="19" t="s">
        <v>63</v>
      </c>
      <c r="H8" s="21" t="s">
        <v>55</v>
      </c>
      <c r="I8" s="19" t="s">
        <v>182</v>
      </c>
      <c r="J8" s="19" t="s">
        <v>183</v>
      </c>
      <c r="K8" s="21">
        <v>46181</v>
      </c>
      <c r="L8" s="30">
        <v>3121</v>
      </c>
      <c r="M8" s="19" t="s">
        <v>160</v>
      </c>
      <c r="N8" s="19" t="s">
        <v>56</v>
      </c>
      <c r="O8" s="19" t="s">
        <v>179</v>
      </c>
      <c r="P8" s="24" t="s">
        <v>162</v>
      </c>
      <c r="Q8" s="19">
        <v>153</v>
      </c>
      <c r="R8" s="19">
        <v>1822</v>
      </c>
      <c r="S8" s="19">
        <v>8.6690000000000005</v>
      </c>
      <c r="T8" s="19">
        <v>520.39</v>
      </c>
      <c r="U8" s="19">
        <v>632.11919999999998</v>
      </c>
      <c r="V8" s="19">
        <v>2.42</v>
      </c>
      <c r="W8" s="19">
        <v>2.8000000000000001E-2</v>
      </c>
      <c r="X8" s="19">
        <v>0.08</v>
      </c>
      <c r="Y8" s="36">
        <v>2.4500000000000002</v>
      </c>
      <c r="Z8" s="36">
        <v>4606.0159999999996</v>
      </c>
      <c r="AA8" s="36">
        <v>4463.8999999999996</v>
      </c>
      <c r="AB8" s="37"/>
      <c r="AC8" s="38"/>
      <c r="AD8" s="41"/>
      <c r="AE8" s="41"/>
      <c r="AF8" s="42"/>
      <c r="AG8" s="42"/>
      <c r="AH8" s="47"/>
      <c r="AI8" s="44"/>
      <c r="AJ8" s="45"/>
      <c r="AK8" s="41"/>
      <c r="AL8" s="41"/>
      <c r="AM8" s="48"/>
      <c r="AN8" s="46"/>
      <c r="AO8" s="46"/>
      <c r="AP8" s="41"/>
      <c r="AQ8" s="41"/>
      <c r="AR8" s="41"/>
      <c r="AS8" s="10"/>
      <c r="AV8" s="10"/>
      <c r="AW8" s="56"/>
      <c r="AX8" s="5"/>
      <c r="AY8" s="5"/>
      <c r="AZ8" t="str">
        <f t="shared" si="0"/>
        <v>CN</v>
      </c>
      <c r="BA8" t="str">
        <f t="shared" si="1"/>
        <v>TL.005 CN</v>
      </c>
      <c r="BB8" t="str">
        <f t="shared" si="2"/>
        <v>CFS</v>
      </c>
      <c r="BC8" t="str">
        <f>IFERROR(VLOOKUP(BF8,[1]Sheet1!$A:$G,7,FALSE),"")</f>
        <v>SHANGHAI</v>
      </c>
      <c r="BF8" t="str">
        <f t="shared" si="3"/>
        <v>CNCFS3121</v>
      </c>
      <c r="BH8" s="9">
        <f t="shared" si="4"/>
        <v>640299</v>
      </c>
      <c r="BI8" s="10" t="str">
        <f t="shared" si="5"/>
        <v>64029990</v>
      </c>
    </row>
    <row r="9" spans="1:61" ht="15" customHeight="1">
      <c r="A9" s="15" t="s">
        <v>404</v>
      </c>
      <c r="B9" s="16" t="s">
        <v>173</v>
      </c>
      <c r="C9" s="17" t="s">
        <v>174</v>
      </c>
      <c r="D9" s="18">
        <v>46234</v>
      </c>
      <c r="E9" s="20" t="s">
        <v>184</v>
      </c>
      <c r="F9" s="19" t="s">
        <v>185</v>
      </c>
      <c r="G9" s="19" t="s">
        <v>63</v>
      </c>
      <c r="H9" s="21" t="s">
        <v>55</v>
      </c>
      <c r="I9" s="19" t="s">
        <v>186</v>
      </c>
      <c r="J9" s="19" t="s">
        <v>187</v>
      </c>
      <c r="K9" s="21">
        <v>46181</v>
      </c>
      <c r="L9" s="30">
        <v>3121</v>
      </c>
      <c r="M9" s="19" t="s">
        <v>160</v>
      </c>
      <c r="N9" s="19" t="s">
        <v>56</v>
      </c>
      <c r="O9" s="19" t="s">
        <v>179</v>
      </c>
      <c r="P9" s="24" t="s">
        <v>162</v>
      </c>
      <c r="Q9" s="19">
        <v>32</v>
      </c>
      <c r="R9" s="19">
        <v>368</v>
      </c>
      <c r="S9" s="19">
        <v>2.1320000000000001</v>
      </c>
      <c r="T9" s="19">
        <v>158.86600000000001</v>
      </c>
      <c r="U9" s="19">
        <v>184.2938</v>
      </c>
      <c r="V9" s="19">
        <v>4.75</v>
      </c>
      <c r="W9" s="19">
        <v>2.8000000000000001E-2</v>
      </c>
      <c r="X9" s="19">
        <v>0.08</v>
      </c>
      <c r="Y9" s="36">
        <v>4.72</v>
      </c>
      <c r="Z9" s="36">
        <v>1787.7439999999999</v>
      </c>
      <c r="AA9" s="36">
        <v>1736.96</v>
      </c>
      <c r="AB9" s="37"/>
      <c r="AC9" s="38"/>
      <c r="AD9" s="39"/>
      <c r="AE9" s="39"/>
      <c r="AF9" s="40"/>
      <c r="AG9" s="40"/>
      <c r="AH9" s="39"/>
      <c r="AI9" s="44"/>
      <c r="AJ9" s="45"/>
      <c r="AK9" s="39"/>
      <c r="AL9" s="39"/>
      <c r="AM9" s="39"/>
      <c r="AN9" s="39"/>
      <c r="AO9" s="39"/>
      <c r="AP9" s="39"/>
      <c r="AQ9" s="39"/>
      <c r="AR9" s="39"/>
      <c r="AS9" s="10"/>
      <c r="AV9" s="10"/>
      <c r="AW9" s="56"/>
      <c r="AX9" s="5"/>
      <c r="AY9" s="5"/>
      <c r="AZ9" t="str">
        <f t="shared" si="0"/>
        <v>CN</v>
      </c>
      <c r="BA9" t="str">
        <f t="shared" si="1"/>
        <v>TL.005 CN</v>
      </c>
      <c r="BB9" t="str">
        <f t="shared" si="2"/>
        <v>CFS</v>
      </c>
      <c r="BC9" t="str">
        <f>IFERROR(VLOOKUP(BF9,[1]Sheet1!$A:$G,7,FALSE),"")</f>
        <v>SHANGHAI</v>
      </c>
      <c r="BF9" t="str">
        <f t="shared" si="3"/>
        <v>CNCFS3121</v>
      </c>
      <c r="BH9" s="9">
        <f t="shared" si="4"/>
        <v>640299</v>
      </c>
      <c r="BI9" s="10" t="str">
        <f t="shared" si="5"/>
        <v>64029990</v>
      </c>
    </row>
    <row r="10" spans="1:61" ht="15" customHeight="1">
      <c r="A10" s="15" t="s">
        <v>404</v>
      </c>
      <c r="B10" s="16" t="s">
        <v>173</v>
      </c>
      <c r="C10" s="17" t="s">
        <v>174</v>
      </c>
      <c r="D10" s="18">
        <v>46234</v>
      </c>
      <c r="E10" s="20" t="s">
        <v>188</v>
      </c>
      <c r="F10" s="19" t="s">
        <v>189</v>
      </c>
      <c r="G10" s="19" t="s">
        <v>63</v>
      </c>
      <c r="H10" s="21" t="s">
        <v>55</v>
      </c>
      <c r="I10" s="19" t="s">
        <v>190</v>
      </c>
      <c r="J10" s="19" t="s">
        <v>191</v>
      </c>
      <c r="K10" s="21">
        <v>46182</v>
      </c>
      <c r="L10" s="30">
        <v>3121</v>
      </c>
      <c r="M10" s="19" t="s">
        <v>160</v>
      </c>
      <c r="N10" s="19" t="s">
        <v>56</v>
      </c>
      <c r="O10" s="19" t="s">
        <v>179</v>
      </c>
      <c r="P10" s="24" t="s">
        <v>162</v>
      </c>
      <c r="Q10" s="19">
        <v>24</v>
      </c>
      <c r="R10" s="19">
        <v>268</v>
      </c>
      <c r="S10" s="19">
        <v>1.4590000000000001</v>
      </c>
      <c r="T10" s="19">
        <v>80.95</v>
      </c>
      <c r="U10" s="19">
        <v>99.391800000000003</v>
      </c>
      <c r="V10" s="19">
        <v>2.8</v>
      </c>
      <c r="W10" s="19">
        <v>2.8000000000000001E-2</v>
      </c>
      <c r="X10" s="19">
        <v>0.08</v>
      </c>
      <c r="Y10" s="36">
        <v>2.82</v>
      </c>
      <c r="Z10" s="36">
        <v>779.34400000000005</v>
      </c>
      <c r="AA10" s="36">
        <v>755.76</v>
      </c>
      <c r="AB10" s="37"/>
      <c r="AC10" s="38"/>
      <c r="AD10" s="39"/>
      <c r="AE10" s="39"/>
      <c r="AF10" s="40"/>
      <c r="AG10" s="40"/>
      <c r="AH10" s="39"/>
      <c r="AI10" s="44"/>
      <c r="AJ10" s="45"/>
      <c r="AK10" s="39"/>
      <c r="AL10" s="39"/>
      <c r="AM10" s="39"/>
      <c r="AN10" s="39"/>
      <c r="AO10" s="39"/>
      <c r="AP10" s="39"/>
      <c r="AQ10" s="39"/>
      <c r="AR10" s="39"/>
      <c r="AS10" s="10"/>
      <c r="AV10" s="10"/>
      <c r="AW10" s="5"/>
      <c r="AX10" s="5"/>
      <c r="AY10" s="5"/>
      <c r="AZ10" t="str">
        <f t="shared" si="0"/>
        <v>CN</v>
      </c>
      <c r="BA10" t="str">
        <f t="shared" si="1"/>
        <v>TL.005 CN</v>
      </c>
      <c r="BB10" t="str">
        <f t="shared" si="2"/>
        <v>CFS</v>
      </c>
      <c r="BC10" t="str">
        <f>IFERROR(VLOOKUP(BF10,[1]Sheet1!$A:$G,7,FALSE),"")</f>
        <v>SHANGHAI</v>
      </c>
      <c r="BF10" t="str">
        <f t="shared" si="3"/>
        <v>CNCFS3121</v>
      </c>
      <c r="BH10" s="9">
        <f t="shared" si="4"/>
        <v>640299</v>
      </c>
      <c r="BI10" s="10" t="str">
        <f t="shared" si="5"/>
        <v>64029990</v>
      </c>
    </row>
    <row r="11" spans="1:61" ht="15" customHeight="1">
      <c r="A11" s="15"/>
      <c r="B11" s="16"/>
      <c r="C11" s="17"/>
      <c r="D11" s="19"/>
      <c r="E11" s="19"/>
      <c r="F11" s="19"/>
      <c r="G11" s="19"/>
      <c r="H11" s="19"/>
      <c r="I11" s="19"/>
      <c r="J11" s="19"/>
      <c r="K11" s="21"/>
      <c r="L11" s="30"/>
      <c r="M11" s="19"/>
      <c r="N11" s="19"/>
      <c r="O11" s="19"/>
      <c r="P11" s="24"/>
      <c r="Q11" s="19"/>
      <c r="R11" s="19"/>
      <c r="S11" s="19"/>
      <c r="T11" s="19"/>
      <c r="U11" s="19"/>
      <c r="V11" s="19"/>
      <c r="W11" s="19"/>
      <c r="X11" s="19"/>
      <c r="Y11" s="36"/>
      <c r="Z11" s="36"/>
      <c r="AA11" s="36"/>
      <c r="AB11" s="37"/>
      <c r="AC11" s="38"/>
      <c r="AD11" s="41"/>
      <c r="AE11" s="41"/>
      <c r="AF11" s="40"/>
      <c r="AG11" s="40"/>
      <c r="AH11" s="39"/>
      <c r="AI11" s="44"/>
      <c r="AJ11" s="45"/>
      <c r="AK11" s="39"/>
      <c r="AL11" s="39"/>
      <c r="AM11" s="39"/>
      <c r="AN11" s="49"/>
      <c r="AO11" s="49"/>
      <c r="AP11" s="41"/>
      <c r="AQ11" s="39"/>
      <c r="AR11" s="39"/>
      <c r="AS11" s="10"/>
      <c r="AV11" s="10"/>
      <c r="AW11" s="5"/>
      <c r="AX11" s="5"/>
      <c r="AY11" s="5"/>
      <c r="AZ11" t="str">
        <f t="shared" si="0"/>
        <v/>
      </c>
      <c r="BA11" t="str">
        <f t="shared" si="1"/>
        <v/>
      </c>
      <c r="BB11" t="str">
        <f t="shared" si="2"/>
        <v/>
      </c>
      <c r="BC11" t="str">
        <f>IFERROR(VLOOKUP(BF11,[1]Sheet1!$A:$G,7,FALSE),"")</f>
        <v/>
      </c>
      <c r="BF11" t="str">
        <f t="shared" si="3"/>
        <v/>
      </c>
      <c r="BH11" s="9" t="str">
        <f t="shared" si="4"/>
        <v/>
      </c>
      <c r="BI11" s="10" t="str">
        <f t="shared" si="5"/>
        <v/>
      </c>
    </row>
    <row r="12" spans="1:61" ht="15" customHeight="1">
      <c r="A12" s="15" t="s">
        <v>192</v>
      </c>
      <c r="B12" s="16" t="s">
        <v>193</v>
      </c>
      <c r="C12" s="17" t="s">
        <v>194</v>
      </c>
      <c r="D12" s="18">
        <v>46234</v>
      </c>
      <c r="E12" s="20" t="s">
        <v>195</v>
      </c>
      <c r="F12" s="19" t="s">
        <v>196</v>
      </c>
      <c r="G12" s="19" t="s">
        <v>70</v>
      </c>
      <c r="H12" s="21" t="s">
        <v>71</v>
      </c>
      <c r="I12" s="19" t="s">
        <v>197</v>
      </c>
      <c r="J12" s="19" t="s">
        <v>198</v>
      </c>
      <c r="K12" s="21">
        <v>46129</v>
      </c>
      <c r="L12" s="30">
        <v>2002</v>
      </c>
      <c r="M12" s="19" t="s">
        <v>199</v>
      </c>
      <c r="N12" s="19" t="s">
        <v>72</v>
      </c>
      <c r="O12" s="19" t="s">
        <v>200</v>
      </c>
      <c r="P12" s="24" t="s">
        <v>201</v>
      </c>
      <c r="Q12" s="19">
        <v>22</v>
      </c>
      <c r="R12" s="19">
        <v>258</v>
      </c>
      <c r="S12" s="19">
        <v>1.4467928063</v>
      </c>
      <c r="T12" s="19">
        <v>85.296000000000006</v>
      </c>
      <c r="U12" s="19">
        <v>102.967</v>
      </c>
      <c r="V12" s="19">
        <v>2.42</v>
      </c>
      <c r="W12" s="19">
        <v>5.0000000000000001E-3</v>
      </c>
      <c r="X12" s="19">
        <v>0.08</v>
      </c>
      <c r="Y12" s="36">
        <v>2.4300000000000002</v>
      </c>
      <c r="Z12" s="36">
        <v>646.29</v>
      </c>
      <c r="AA12" s="36">
        <v>626.94000000000005</v>
      </c>
      <c r="AB12" s="37"/>
      <c r="AC12" s="38"/>
      <c r="AD12" s="39"/>
      <c r="AE12" s="39"/>
      <c r="AF12" s="40"/>
      <c r="AG12" s="40"/>
      <c r="AH12" s="39"/>
      <c r="AI12" s="44"/>
      <c r="AJ12" s="45"/>
      <c r="AK12" s="41"/>
      <c r="AL12" s="41"/>
      <c r="AM12" s="41"/>
      <c r="AN12" s="41"/>
      <c r="AO12" s="41"/>
      <c r="AP12" s="41"/>
      <c r="AQ12" s="41"/>
      <c r="AR12" s="41"/>
      <c r="AS12" s="10"/>
      <c r="AV12" s="54"/>
      <c r="AW12" s="5"/>
      <c r="AX12" s="5"/>
      <c r="AY12" s="5"/>
      <c r="AZ12" t="str">
        <f t="shared" si="0"/>
        <v>CL</v>
      </c>
      <c r="BA12" t="str">
        <f t="shared" si="1"/>
        <v>TL.001 CL</v>
      </c>
      <c r="BB12" t="str">
        <f t="shared" si="2"/>
        <v>CFS</v>
      </c>
      <c r="BC12" t="str">
        <f>IFERROR(VLOOKUP(BF12,[1]Sheet1!$A:$G,7,FALSE),"")</f>
        <v/>
      </c>
      <c r="BF12" t="str">
        <f t="shared" si="3"/>
        <v>CLCFS2002</v>
      </c>
      <c r="BH12" s="9">
        <f t="shared" si="4"/>
        <v>640299</v>
      </c>
      <c r="BI12" s="10" t="str">
        <f t="shared" si="5"/>
        <v>64029990</v>
      </c>
    </row>
    <row r="13" spans="1:61" ht="15" customHeight="1">
      <c r="A13" s="15" t="s">
        <v>192</v>
      </c>
      <c r="B13" s="16" t="s">
        <v>193</v>
      </c>
      <c r="C13" s="17" t="s">
        <v>194</v>
      </c>
      <c r="D13" s="18">
        <v>46234</v>
      </c>
      <c r="E13" s="20" t="s">
        <v>202</v>
      </c>
      <c r="F13" s="19" t="s">
        <v>203</v>
      </c>
      <c r="G13" s="19" t="s">
        <v>70</v>
      </c>
      <c r="H13" s="21" t="s">
        <v>71</v>
      </c>
      <c r="I13" s="19" t="s">
        <v>158</v>
      </c>
      <c r="J13" s="19" t="s">
        <v>159</v>
      </c>
      <c r="K13" s="21">
        <v>46129</v>
      </c>
      <c r="L13" s="30">
        <v>2002</v>
      </c>
      <c r="M13" s="19" t="s">
        <v>199</v>
      </c>
      <c r="N13" s="19" t="s">
        <v>72</v>
      </c>
      <c r="O13" s="19" t="s">
        <v>200</v>
      </c>
      <c r="P13" s="24" t="s">
        <v>201</v>
      </c>
      <c r="Q13" s="19">
        <v>16</v>
      </c>
      <c r="R13" s="19">
        <v>192</v>
      </c>
      <c r="S13" s="19">
        <v>1.2377722</v>
      </c>
      <c r="T13" s="19">
        <v>90.93</v>
      </c>
      <c r="U13" s="19">
        <v>105.027</v>
      </c>
      <c r="V13" s="19">
        <v>4.75</v>
      </c>
      <c r="W13" s="19">
        <v>5.0000000000000001E-3</v>
      </c>
      <c r="X13" s="19">
        <v>0.08</v>
      </c>
      <c r="Y13" s="36">
        <v>4.6900000000000004</v>
      </c>
      <c r="Z13" s="36">
        <v>928.32</v>
      </c>
      <c r="AA13" s="36">
        <v>900.48</v>
      </c>
      <c r="AB13" s="37"/>
      <c r="AC13" s="38"/>
      <c r="AD13" s="39"/>
      <c r="AE13" s="39"/>
      <c r="AF13" s="40"/>
      <c r="AG13" s="40"/>
      <c r="AH13" s="39"/>
      <c r="AI13" s="44"/>
      <c r="AJ13" s="45"/>
      <c r="AK13" s="41"/>
      <c r="AL13" s="41"/>
      <c r="AM13" s="41"/>
      <c r="AN13" s="41"/>
      <c r="AO13" s="41"/>
      <c r="AP13" s="41"/>
      <c r="AQ13" s="41"/>
      <c r="AR13" s="41"/>
      <c r="AS13" s="10"/>
      <c r="AV13" s="54"/>
      <c r="AW13" s="5"/>
      <c r="AX13" s="5"/>
      <c r="AY13" s="5"/>
      <c r="AZ13" t="str">
        <f t="shared" si="0"/>
        <v>CL</v>
      </c>
      <c r="BA13" t="str">
        <f t="shared" si="1"/>
        <v>TL.001 CL</v>
      </c>
      <c r="BB13" t="str">
        <f t="shared" si="2"/>
        <v>CFS</v>
      </c>
      <c r="BC13" t="str">
        <f>IFERROR(VLOOKUP(BF13,[1]Sheet1!$A:$G,7,FALSE),"")</f>
        <v/>
      </c>
      <c r="BF13" t="str">
        <f t="shared" si="3"/>
        <v>CLCFS2002</v>
      </c>
      <c r="BH13" s="9">
        <f t="shared" si="4"/>
        <v>640299</v>
      </c>
      <c r="BI13" s="10" t="str">
        <f t="shared" si="5"/>
        <v>64029990</v>
      </c>
    </row>
    <row r="14" spans="1:61" ht="15" customHeight="1">
      <c r="A14" s="15" t="s">
        <v>192</v>
      </c>
      <c r="B14" s="16" t="s">
        <v>193</v>
      </c>
      <c r="C14" s="17" t="s">
        <v>194</v>
      </c>
      <c r="D14" s="18">
        <v>46234</v>
      </c>
      <c r="E14" s="20" t="s">
        <v>204</v>
      </c>
      <c r="F14" s="19" t="s">
        <v>205</v>
      </c>
      <c r="G14" s="19" t="s">
        <v>70</v>
      </c>
      <c r="H14" s="21" t="s">
        <v>71</v>
      </c>
      <c r="I14" s="19" t="s">
        <v>206</v>
      </c>
      <c r="J14" s="19" t="s">
        <v>207</v>
      </c>
      <c r="K14" s="21">
        <v>46129</v>
      </c>
      <c r="L14" s="30">
        <v>2002</v>
      </c>
      <c r="M14" s="19" t="s">
        <v>199</v>
      </c>
      <c r="N14" s="19" t="s">
        <v>72</v>
      </c>
      <c r="O14" s="19" t="s">
        <v>200</v>
      </c>
      <c r="P14" s="24" t="s">
        <v>201</v>
      </c>
      <c r="Q14" s="19">
        <v>20</v>
      </c>
      <c r="R14" s="19">
        <v>234</v>
      </c>
      <c r="S14" s="19">
        <v>1.5433004993999999</v>
      </c>
      <c r="T14" s="19">
        <v>110.83199999999999</v>
      </c>
      <c r="U14" s="19">
        <v>128.42500000000001</v>
      </c>
      <c r="V14" s="19">
        <v>4.75</v>
      </c>
      <c r="W14" s="19">
        <v>5.0000000000000001E-3</v>
      </c>
      <c r="X14" s="19">
        <v>0.08</v>
      </c>
      <c r="Y14" s="36">
        <v>4.6900000000000004</v>
      </c>
      <c r="Z14" s="36">
        <v>1131.3900000000001</v>
      </c>
      <c r="AA14" s="36">
        <v>1097.46</v>
      </c>
      <c r="AB14" s="37"/>
      <c r="AC14" s="38"/>
      <c r="AD14" s="39"/>
      <c r="AE14" s="39"/>
      <c r="AF14" s="40"/>
      <c r="AG14" s="40"/>
      <c r="AH14" s="39"/>
      <c r="AI14" s="44"/>
      <c r="AJ14" s="45"/>
      <c r="AK14" s="41"/>
      <c r="AL14" s="41"/>
      <c r="AM14" s="41"/>
      <c r="AN14" s="41"/>
      <c r="AO14" s="41"/>
      <c r="AP14" s="41"/>
      <c r="AQ14" s="41"/>
      <c r="AR14" s="41"/>
      <c r="AS14" s="54"/>
      <c r="AV14" s="54"/>
      <c r="AW14" s="5"/>
      <c r="AX14" s="5"/>
      <c r="AY14" s="5"/>
      <c r="AZ14" t="str">
        <f t="shared" si="0"/>
        <v>CL</v>
      </c>
      <c r="BA14" t="str">
        <f t="shared" si="1"/>
        <v>TL.001 CL</v>
      </c>
      <c r="BB14" t="str">
        <f t="shared" si="2"/>
        <v>CFS</v>
      </c>
      <c r="BC14" t="str">
        <f>IFERROR(VLOOKUP(BF14,[1]Sheet1!$A:$G,7,FALSE),"")</f>
        <v/>
      </c>
      <c r="BF14" t="str">
        <f t="shared" si="3"/>
        <v>CLCFS2002</v>
      </c>
      <c r="BH14" s="9">
        <f t="shared" si="4"/>
        <v>640299</v>
      </c>
      <c r="BI14" s="10" t="str">
        <f t="shared" si="5"/>
        <v>64029990</v>
      </c>
    </row>
    <row r="15" spans="1:61" ht="15" customHeight="1">
      <c r="A15" s="15" t="s">
        <v>192</v>
      </c>
      <c r="B15" s="16" t="s">
        <v>193</v>
      </c>
      <c r="C15" s="17" t="s">
        <v>194</v>
      </c>
      <c r="D15" s="18">
        <v>46234</v>
      </c>
      <c r="E15" s="20" t="s">
        <v>208</v>
      </c>
      <c r="F15" s="19" t="s">
        <v>209</v>
      </c>
      <c r="G15" s="19" t="s">
        <v>70</v>
      </c>
      <c r="H15" s="21" t="s">
        <v>71</v>
      </c>
      <c r="I15" s="19" t="s">
        <v>186</v>
      </c>
      <c r="J15" s="19" t="s">
        <v>187</v>
      </c>
      <c r="K15" s="21">
        <v>46129</v>
      </c>
      <c r="L15" s="30">
        <v>2002</v>
      </c>
      <c r="M15" s="19" t="s">
        <v>199</v>
      </c>
      <c r="N15" s="19" t="s">
        <v>72</v>
      </c>
      <c r="O15" s="19" t="s">
        <v>200</v>
      </c>
      <c r="P15" s="24" t="s">
        <v>201</v>
      </c>
      <c r="Q15" s="19">
        <v>14</v>
      </c>
      <c r="R15" s="19">
        <v>168</v>
      </c>
      <c r="S15" s="19">
        <v>1.0254417265</v>
      </c>
      <c r="T15" s="19">
        <v>75.876000000000005</v>
      </c>
      <c r="U15" s="19">
        <v>87.742999999999995</v>
      </c>
      <c r="V15" s="19">
        <v>4.75</v>
      </c>
      <c r="W15" s="19">
        <v>5.0000000000000001E-3</v>
      </c>
      <c r="X15" s="19">
        <v>0.08</v>
      </c>
      <c r="Y15" s="36">
        <v>4.6900000000000004</v>
      </c>
      <c r="Z15" s="36">
        <v>812.28</v>
      </c>
      <c r="AA15" s="36">
        <v>787.92</v>
      </c>
      <c r="AB15" s="37"/>
      <c r="AC15" s="38"/>
      <c r="AD15" s="39"/>
      <c r="AE15" s="39"/>
      <c r="AF15" s="40"/>
      <c r="AG15" s="40"/>
      <c r="AH15" s="39"/>
      <c r="AI15" s="44"/>
      <c r="AJ15" s="45"/>
      <c r="AK15" s="41"/>
      <c r="AL15" s="41"/>
      <c r="AM15" s="41"/>
      <c r="AN15" s="41"/>
      <c r="AO15" s="41"/>
      <c r="AP15" s="41"/>
      <c r="AQ15" s="41"/>
      <c r="AR15" s="41"/>
      <c r="AS15" s="10"/>
      <c r="AV15" s="54"/>
      <c r="AW15" s="5"/>
      <c r="AX15" s="5"/>
      <c r="AY15" s="5"/>
      <c r="AZ15" t="str">
        <f t="shared" si="0"/>
        <v>CL</v>
      </c>
      <c r="BA15" t="str">
        <f t="shared" si="1"/>
        <v>TL.001 CL</v>
      </c>
      <c r="BB15" t="str">
        <f t="shared" si="2"/>
        <v>CFS</v>
      </c>
      <c r="BC15" t="str">
        <f>IFERROR(VLOOKUP(BF15,[1]Sheet1!$A:$G,7,FALSE),"")</f>
        <v/>
      </c>
      <c r="BF15" t="str">
        <f t="shared" si="3"/>
        <v>CLCFS2002</v>
      </c>
      <c r="BH15" s="9">
        <f t="shared" si="4"/>
        <v>640299</v>
      </c>
      <c r="BI15" s="10" t="str">
        <f t="shared" si="5"/>
        <v>64029990</v>
      </c>
    </row>
    <row r="16" spans="1:61" ht="15" customHeight="1">
      <c r="A16" s="15" t="s">
        <v>192</v>
      </c>
      <c r="B16" s="16" t="s">
        <v>193</v>
      </c>
      <c r="C16" s="17" t="s">
        <v>194</v>
      </c>
      <c r="D16" s="18">
        <v>46234</v>
      </c>
      <c r="E16" s="20" t="s">
        <v>210</v>
      </c>
      <c r="F16" s="19" t="s">
        <v>211</v>
      </c>
      <c r="G16" s="19" t="s">
        <v>70</v>
      </c>
      <c r="H16" s="21" t="s">
        <v>71</v>
      </c>
      <c r="I16" s="19" t="s">
        <v>212</v>
      </c>
      <c r="J16" s="19" t="s">
        <v>213</v>
      </c>
      <c r="K16" s="21">
        <v>46129</v>
      </c>
      <c r="L16" s="30">
        <v>2002</v>
      </c>
      <c r="M16" s="19" t="s">
        <v>199</v>
      </c>
      <c r="N16" s="19" t="s">
        <v>72</v>
      </c>
      <c r="O16" s="19" t="s">
        <v>200</v>
      </c>
      <c r="P16" s="24" t="s">
        <v>201</v>
      </c>
      <c r="Q16" s="19">
        <v>16</v>
      </c>
      <c r="R16" s="19">
        <v>192</v>
      </c>
      <c r="S16" s="19">
        <v>1.0428198878999999</v>
      </c>
      <c r="T16" s="19">
        <v>79.628</v>
      </c>
      <c r="U16" s="19">
        <v>92.194999999999993</v>
      </c>
      <c r="V16" s="19">
        <v>4.75</v>
      </c>
      <c r="W16" s="19">
        <v>5.0000000000000001E-3</v>
      </c>
      <c r="X16" s="19">
        <v>0.08</v>
      </c>
      <c r="Y16" s="36">
        <v>4.6900000000000004</v>
      </c>
      <c r="Z16" s="36">
        <v>928.32</v>
      </c>
      <c r="AA16" s="36">
        <v>900.48</v>
      </c>
      <c r="AB16" s="37"/>
      <c r="AC16" s="38"/>
      <c r="AD16" s="39"/>
      <c r="AE16" s="39"/>
      <c r="AF16" s="40"/>
      <c r="AG16" s="40"/>
      <c r="AH16" s="39"/>
      <c r="AI16" s="44"/>
      <c r="AJ16" s="45"/>
      <c r="AK16" s="41"/>
      <c r="AL16" s="41"/>
      <c r="AM16" s="41"/>
      <c r="AN16" s="41"/>
      <c r="AO16" s="41"/>
      <c r="AP16" s="41"/>
      <c r="AQ16" s="41"/>
      <c r="AR16" s="41"/>
      <c r="AS16" s="54"/>
      <c r="AV16" s="54"/>
      <c r="AW16" s="5"/>
      <c r="AX16" s="5"/>
      <c r="AY16" s="5"/>
      <c r="AZ16" t="str">
        <f t="shared" si="0"/>
        <v>CL</v>
      </c>
      <c r="BA16" t="str">
        <f t="shared" si="1"/>
        <v>TL.001 CL</v>
      </c>
      <c r="BB16" t="str">
        <f t="shared" si="2"/>
        <v>CFS</v>
      </c>
      <c r="BC16" t="str">
        <f>IFERROR(VLOOKUP(BF16,[1]Sheet1!$A:$G,7,FALSE),"")</f>
        <v/>
      </c>
      <c r="BF16" t="str">
        <f t="shared" si="3"/>
        <v>CLCFS2002</v>
      </c>
      <c r="BH16" s="9">
        <f t="shared" si="4"/>
        <v>640299</v>
      </c>
      <c r="BI16" s="10" t="str">
        <f t="shared" si="5"/>
        <v>64029990</v>
      </c>
    </row>
    <row r="17" spans="1:61" ht="15" customHeight="1">
      <c r="A17" s="15" t="s">
        <v>192</v>
      </c>
      <c r="B17" s="16" t="s">
        <v>193</v>
      </c>
      <c r="C17" s="17" t="s">
        <v>194</v>
      </c>
      <c r="D17" s="18">
        <v>46234</v>
      </c>
      <c r="E17" s="20" t="s">
        <v>214</v>
      </c>
      <c r="F17" s="19" t="s">
        <v>215</v>
      </c>
      <c r="G17" s="19" t="s">
        <v>70</v>
      </c>
      <c r="H17" s="21" t="s">
        <v>71</v>
      </c>
      <c r="I17" s="19" t="s">
        <v>216</v>
      </c>
      <c r="J17" s="19" t="s">
        <v>217</v>
      </c>
      <c r="K17" s="21">
        <v>46168</v>
      </c>
      <c r="L17" s="30">
        <v>2002</v>
      </c>
      <c r="M17" s="19" t="s">
        <v>199</v>
      </c>
      <c r="N17" s="19" t="s">
        <v>72</v>
      </c>
      <c r="O17" s="19" t="s">
        <v>200</v>
      </c>
      <c r="P17" s="24" t="s">
        <v>201</v>
      </c>
      <c r="Q17" s="19">
        <v>18</v>
      </c>
      <c r="R17" s="19">
        <v>216</v>
      </c>
      <c r="S17" s="19">
        <v>1.200472303</v>
      </c>
      <c r="T17" s="19">
        <v>71.897999999999996</v>
      </c>
      <c r="U17" s="19">
        <v>86.471999999999994</v>
      </c>
      <c r="V17" s="19">
        <v>2.42</v>
      </c>
      <c r="W17" s="19">
        <v>5.0000000000000001E-3</v>
      </c>
      <c r="X17" s="19">
        <v>0.08</v>
      </c>
      <c r="Y17" s="36">
        <v>2.4300000000000002</v>
      </c>
      <c r="Z17" s="36">
        <v>541.08000000000004</v>
      </c>
      <c r="AA17" s="36">
        <v>524.88</v>
      </c>
      <c r="AB17" s="37"/>
      <c r="AC17" s="38"/>
      <c r="AD17" s="39"/>
      <c r="AE17" s="39"/>
      <c r="AF17" s="40"/>
      <c r="AG17" s="40"/>
      <c r="AH17" s="39"/>
      <c r="AI17" s="44"/>
      <c r="AJ17" s="45"/>
      <c r="AK17" s="41"/>
      <c r="AL17" s="41"/>
      <c r="AM17" s="41"/>
      <c r="AN17" s="41"/>
      <c r="AO17" s="41"/>
      <c r="AP17" s="41"/>
      <c r="AQ17" s="41"/>
      <c r="AR17" s="41"/>
      <c r="AS17" s="54"/>
      <c r="AV17" s="54"/>
      <c r="AW17" s="5"/>
      <c r="AX17" s="5"/>
      <c r="AY17" s="5"/>
      <c r="AZ17" t="str">
        <f t="shared" si="0"/>
        <v>CL</v>
      </c>
      <c r="BA17" t="str">
        <f t="shared" si="1"/>
        <v>TL.001 CL</v>
      </c>
      <c r="BB17" t="str">
        <f t="shared" si="2"/>
        <v>CFS</v>
      </c>
      <c r="BC17" t="str">
        <f>IFERROR(VLOOKUP(BF17,[1]Sheet1!$A:$G,7,FALSE),"")</f>
        <v/>
      </c>
      <c r="BF17" t="str">
        <f t="shared" si="3"/>
        <v>CLCFS2002</v>
      </c>
      <c r="BH17" s="9">
        <f t="shared" si="4"/>
        <v>640299</v>
      </c>
      <c r="BI17" s="10" t="str">
        <f t="shared" si="5"/>
        <v>64029990</v>
      </c>
    </row>
    <row r="18" spans="1:61" ht="15" customHeight="1">
      <c r="A18" s="15"/>
      <c r="B18" s="16"/>
      <c r="C18" s="17"/>
      <c r="D18" s="18"/>
      <c r="E18" s="19"/>
      <c r="F18" s="19"/>
      <c r="G18" s="19"/>
      <c r="H18" s="19"/>
      <c r="I18" s="19"/>
      <c r="J18" s="19"/>
      <c r="K18" s="21"/>
      <c r="L18" s="30"/>
      <c r="M18" s="19"/>
      <c r="N18" s="19"/>
      <c r="O18" s="19"/>
      <c r="P18" s="24"/>
      <c r="Q18" s="19"/>
      <c r="R18" s="19"/>
      <c r="S18" s="19"/>
      <c r="T18" s="19"/>
      <c r="U18" s="19"/>
      <c r="V18" s="19"/>
      <c r="W18" s="19"/>
      <c r="X18" s="19"/>
      <c r="Y18" s="36"/>
      <c r="Z18" s="36"/>
      <c r="AA18" s="36"/>
      <c r="AB18" s="37"/>
      <c r="AC18" s="38"/>
      <c r="AD18" s="39"/>
      <c r="AE18" s="39"/>
      <c r="AF18" s="40"/>
      <c r="AG18" s="40"/>
      <c r="AH18" s="39"/>
      <c r="AI18" s="44"/>
      <c r="AJ18" s="45"/>
      <c r="AK18" s="41"/>
      <c r="AL18" s="41"/>
      <c r="AM18" s="41"/>
      <c r="AN18" s="41"/>
      <c r="AO18" s="41"/>
      <c r="AP18" s="41"/>
      <c r="AQ18" s="41"/>
      <c r="AR18" s="41"/>
      <c r="AS18" s="54"/>
      <c r="AV18" s="54"/>
      <c r="AW18" s="5"/>
      <c r="AX18" s="5"/>
      <c r="AY18" s="5"/>
      <c r="AZ18" t="str">
        <f t="shared" si="0"/>
        <v/>
      </c>
      <c r="BA18" t="str">
        <f t="shared" si="1"/>
        <v/>
      </c>
      <c r="BB18" t="str">
        <f t="shared" si="2"/>
        <v/>
      </c>
      <c r="BC18" t="str">
        <f>IFERROR(VLOOKUP(BF18,[1]Sheet1!$A:$G,7,FALSE),"")</f>
        <v/>
      </c>
      <c r="BF18" t="str">
        <f t="shared" si="3"/>
        <v/>
      </c>
      <c r="BH18" s="9" t="str">
        <f t="shared" si="4"/>
        <v/>
      </c>
      <c r="BI18" s="10" t="str">
        <f t="shared" si="5"/>
        <v/>
      </c>
    </row>
    <row r="19" spans="1:61" ht="15" customHeight="1">
      <c r="A19" s="19" t="s">
        <v>405</v>
      </c>
      <c r="B19" s="16" t="s">
        <v>218</v>
      </c>
      <c r="C19" s="17" t="s">
        <v>219</v>
      </c>
      <c r="D19" s="22">
        <v>46234</v>
      </c>
      <c r="E19" s="23" t="s">
        <v>220</v>
      </c>
      <c r="F19" s="24" t="s">
        <v>221</v>
      </c>
      <c r="G19" s="24" t="s">
        <v>70</v>
      </c>
      <c r="H19" s="25" t="s">
        <v>71</v>
      </c>
      <c r="I19" s="24" t="s">
        <v>57</v>
      </c>
      <c r="J19" s="24" t="s">
        <v>58</v>
      </c>
      <c r="K19" s="21">
        <v>46093</v>
      </c>
      <c r="L19" s="24">
        <v>2002</v>
      </c>
      <c r="M19" s="24" t="s">
        <v>222</v>
      </c>
      <c r="N19" s="24" t="s">
        <v>72</v>
      </c>
      <c r="O19" s="24" t="s">
        <v>223</v>
      </c>
      <c r="P19" s="24" t="s">
        <v>224</v>
      </c>
      <c r="Q19" s="24">
        <v>1</v>
      </c>
      <c r="R19" s="24">
        <v>18</v>
      </c>
      <c r="S19" s="24">
        <v>0.16200000000000001</v>
      </c>
      <c r="T19" s="24">
        <v>7.1055999999999999</v>
      </c>
      <c r="U19" s="24">
        <v>7.6055999999999999</v>
      </c>
      <c r="V19" s="32">
        <v>5.13</v>
      </c>
      <c r="W19" s="32">
        <v>0</v>
      </c>
      <c r="X19" s="32">
        <v>0</v>
      </c>
      <c r="Y19" s="36">
        <v>4.9800000000000004</v>
      </c>
      <c r="Z19" s="36">
        <v>92.34</v>
      </c>
      <c r="AA19" s="36">
        <v>89.64</v>
      </c>
      <c r="AB19" s="37"/>
      <c r="AC19" s="38"/>
      <c r="AD19" s="39"/>
      <c r="AE19" s="39"/>
      <c r="AF19" s="40"/>
      <c r="AG19" s="40"/>
      <c r="AH19" s="39"/>
      <c r="AI19" s="44"/>
      <c r="AJ19" s="45"/>
      <c r="AK19" s="41"/>
      <c r="AL19" s="41"/>
      <c r="AM19" s="41"/>
      <c r="AN19" s="41"/>
      <c r="AO19" s="41"/>
      <c r="AP19" s="41"/>
      <c r="AQ19" s="41"/>
      <c r="AR19" s="41"/>
      <c r="AS19" s="54"/>
      <c r="AV19" s="54"/>
      <c r="AW19" s="5"/>
      <c r="AX19" s="5"/>
      <c r="AY19" s="5"/>
      <c r="AZ19" t="str">
        <f t="shared" si="0"/>
        <v>US</v>
      </c>
      <c r="BA19" t="str">
        <f t="shared" si="1"/>
        <v>TL.314 US</v>
      </c>
      <c r="BB19" t="str">
        <f t="shared" si="2"/>
        <v>CFS</v>
      </c>
      <c r="BC19" t="str">
        <f>IFERROR(VLOOKUP(BF19,[1]Sheet1!$A:$G,7,FALSE),"")</f>
        <v>Miami</v>
      </c>
      <c r="BF19" t="str">
        <f t="shared" si="3"/>
        <v>USCFS2002</v>
      </c>
      <c r="BH19" s="9">
        <f t="shared" si="4"/>
        <v>640299</v>
      </c>
      <c r="BI19" s="10" t="str">
        <f t="shared" si="5"/>
        <v>64029990</v>
      </c>
    </row>
    <row r="20" spans="1:61" ht="15" customHeight="1">
      <c r="A20" s="19" t="s">
        <v>405</v>
      </c>
      <c r="B20" s="16" t="s">
        <v>218</v>
      </c>
      <c r="C20" s="17" t="s">
        <v>219</v>
      </c>
      <c r="D20" s="18">
        <v>46234</v>
      </c>
      <c r="E20" s="20" t="s">
        <v>225</v>
      </c>
      <c r="F20" s="19" t="s">
        <v>226</v>
      </c>
      <c r="G20" s="19" t="s">
        <v>70</v>
      </c>
      <c r="H20" s="21" t="s">
        <v>71</v>
      </c>
      <c r="I20" s="19" t="s">
        <v>227</v>
      </c>
      <c r="J20" s="19" t="s">
        <v>228</v>
      </c>
      <c r="K20" s="21">
        <v>46093</v>
      </c>
      <c r="L20" s="30">
        <v>2002</v>
      </c>
      <c r="M20" s="19" t="s">
        <v>222</v>
      </c>
      <c r="N20" s="19" t="s">
        <v>72</v>
      </c>
      <c r="O20" s="19" t="s">
        <v>223</v>
      </c>
      <c r="P20" s="24" t="s">
        <v>224</v>
      </c>
      <c r="Q20" s="19">
        <v>1</v>
      </c>
      <c r="R20" s="19">
        <v>18</v>
      </c>
      <c r="S20" s="19">
        <v>8.4000000000000005E-2</v>
      </c>
      <c r="T20" s="19">
        <v>4.9607999999999999</v>
      </c>
      <c r="U20" s="19">
        <v>5.4607999999999999</v>
      </c>
      <c r="V20" s="19">
        <v>4.25</v>
      </c>
      <c r="W20" s="19">
        <v>0</v>
      </c>
      <c r="X20" s="19">
        <v>0</v>
      </c>
      <c r="Y20" s="36">
        <v>4.13</v>
      </c>
      <c r="Z20" s="36">
        <v>76.5</v>
      </c>
      <c r="AA20" s="36">
        <v>74.34</v>
      </c>
      <c r="AB20" s="37"/>
      <c r="AC20" s="38"/>
      <c r="AD20" s="39"/>
      <c r="AE20" s="39"/>
      <c r="AF20" s="40"/>
      <c r="AG20" s="40"/>
      <c r="AH20" s="39"/>
      <c r="AI20" s="44"/>
      <c r="AJ20" s="45"/>
      <c r="AK20" s="41"/>
      <c r="AL20" s="41"/>
      <c r="AM20" s="41"/>
      <c r="AN20" s="41"/>
      <c r="AO20" s="41"/>
      <c r="AP20" s="41"/>
      <c r="AQ20" s="41"/>
      <c r="AR20" s="41"/>
      <c r="AS20" s="54"/>
      <c r="AV20" s="54"/>
      <c r="AW20" s="5"/>
      <c r="AX20" s="5"/>
      <c r="AY20" s="5"/>
      <c r="AZ20" t="str">
        <f t="shared" si="0"/>
        <v>US</v>
      </c>
      <c r="BA20" t="str">
        <f t="shared" si="1"/>
        <v>TL.314 US</v>
      </c>
      <c r="BB20" t="str">
        <f t="shared" si="2"/>
        <v>CFS</v>
      </c>
      <c r="BC20" t="str">
        <f>IFERROR(VLOOKUP(BF20,[1]Sheet1!$A:$G,7,FALSE),"")</f>
        <v>Miami</v>
      </c>
      <c r="BF20" t="str">
        <f t="shared" si="3"/>
        <v>USCFS2002</v>
      </c>
      <c r="BH20" s="9">
        <f t="shared" si="4"/>
        <v>640299</v>
      </c>
      <c r="BI20" s="10" t="str">
        <f t="shared" si="5"/>
        <v>64029990</v>
      </c>
    </row>
    <row r="21" spans="1:61" ht="15" customHeight="1">
      <c r="A21" s="19" t="s">
        <v>405</v>
      </c>
      <c r="B21" s="16" t="s">
        <v>218</v>
      </c>
      <c r="C21" s="17" t="s">
        <v>219</v>
      </c>
      <c r="D21" s="18">
        <v>46234</v>
      </c>
      <c r="E21" s="20" t="s">
        <v>229</v>
      </c>
      <c r="F21" s="19" t="s">
        <v>230</v>
      </c>
      <c r="G21" s="19" t="s">
        <v>70</v>
      </c>
      <c r="H21" s="21" t="s">
        <v>71</v>
      </c>
      <c r="I21" s="19" t="s">
        <v>231</v>
      </c>
      <c r="J21" s="19" t="s">
        <v>232</v>
      </c>
      <c r="K21" s="21">
        <v>46093</v>
      </c>
      <c r="L21" s="30">
        <v>2002</v>
      </c>
      <c r="M21" s="19" t="s">
        <v>222</v>
      </c>
      <c r="N21" s="19" t="s">
        <v>72</v>
      </c>
      <c r="O21" s="19" t="s">
        <v>223</v>
      </c>
      <c r="P21" s="24" t="s">
        <v>224</v>
      </c>
      <c r="Q21" s="19">
        <v>1</v>
      </c>
      <c r="R21" s="19">
        <v>12</v>
      </c>
      <c r="S21" s="19">
        <v>6.3E-2</v>
      </c>
      <c r="T21" s="19">
        <v>2.8148</v>
      </c>
      <c r="U21" s="19">
        <v>3.3148</v>
      </c>
      <c r="V21" s="19">
        <v>4.3</v>
      </c>
      <c r="W21" s="19">
        <v>0</v>
      </c>
      <c r="X21" s="19">
        <v>0</v>
      </c>
      <c r="Y21" s="36">
        <v>4.17</v>
      </c>
      <c r="Z21" s="36">
        <v>51.6</v>
      </c>
      <c r="AA21" s="36">
        <v>50.04</v>
      </c>
      <c r="AB21" s="37"/>
      <c r="AC21" s="38"/>
      <c r="AD21" s="39"/>
      <c r="AE21" s="39"/>
      <c r="AF21" s="40"/>
      <c r="AG21" s="40"/>
      <c r="AH21" s="39"/>
      <c r="AI21" s="44"/>
      <c r="AJ21" s="45"/>
      <c r="AK21" s="41"/>
      <c r="AL21" s="41"/>
      <c r="AM21" s="41"/>
      <c r="AN21" s="41"/>
      <c r="AO21" s="41"/>
      <c r="AP21" s="41"/>
      <c r="AQ21" s="41"/>
      <c r="AR21" s="41"/>
      <c r="AS21" s="54"/>
      <c r="AV21" s="54"/>
      <c r="AW21" s="5"/>
      <c r="AX21" s="5"/>
      <c r="AY21" s="5"/>
      <c r="AZ21" t="str">
        <f t="shared" si="0"/>
        <v>US</v>
      </c>
      <c r="BA21" t="str">
        <f t="shared" si="1"/>
        <v>TL.314 US</v>
      </c>
      <c r="BB21" t="str">
        <f t="shared" si="2"/>
        <v>CFS</v>
      </c>
      <c r="BC21" t="str">
        <f>IFERROR(VLOOKUP(BF21,[1]Sheet1!$A:$G,7,FALSE),"")</f>
        <v>Miami</v>
      </c>
      <c r="BF21" t="str">
        <f t="shared" si="3"/>
        <v>USCFS2002</v>
      </c>
      <c r="BH21" s="9">
        <f t="shared" si="4"/>
        <v>640299</v>
      </c>
      <c r="BI21" s="10" t="str">
        <f t="shared" si="5"/>
        <v>64029990</v>
      </c>
    </row>
    <row r="22" spans="1:61" ht="15" customHeight="1">
      <c r="A22" s="19" t="s">
        <v>405</v>
      </c>
      <c r="B22" s="16" t="s">
        <v>218</v>
      </c>
      <c r="C22" s="17" t="s">
        <v>219</v>
      </c>
      <c r="D22" s="18">
        <v>46234</v>
      </c>
      <c r="E22" s="20" t="s">
        <v>233</v>
      </c>
      <c r="F22" s="19" t="s">
        <v>234</v>
      </c>
      <c r="G22" s="19" t="s">
        <v>70</v>
      </c>
      <c r="H22" s="21" t="s">
        <v>71</v>
      </c>
      <c r="I22" s="19" t="s">
        <v>235</v>
      </c>
      <c r="J22" s="19" t="s">
        <v>236</v>
      </c>
      <c r="K22" s="21">
        <v>46093</v>
      </c>
      <c r="L22" s="30">
        <v>2002</v>
      </c>
      <c r="M22" s="19" t="s">
        <v>222</v>
      </c>
      <c r="N22" s="19" t="s">
        <v>72</v>
      </c>
      <c r="O22" s="19" t="s">
        <v>223</v>
      </c>
      <c r="P22" s="24" t="s">
        <v>224</v>
      </c>
      <c r="Q22" s="19">
        <v>1</v>
      </c>
      <c r="R22" s="19">
        <v>12</v>
      </c>
      <c r="S22" s="19">
        <v>6.3E-2</v>
      </c>
      <c r="T22" s="19">
        <v>2.8148</v>
      </c>
      <c r="U22" s="19">
        <v>3.3148</v>
      </c>
      <c r="V22" s="19">
        <v>4.3</v>
      </c>
      <c r="W22" s="19">
        <v>0</v>
      </c>
      <c r="X22" s="19">
        <v>0</v>
      </c>
      <c r="Y22" s="36">
        <v>4.17</v>
      </c>
      <c r="Z22" s="36">
        <v>51.6</v>
      </c>
      <c r="AA22" s="36">
        <v>50.04</v>
      </c>
      <c r="AB22" s="37"/>
      <c r="AC22" s="38"/>
      <c r="AD22" s="39"/>
      <c r="AE22" s="39"/>
      <c r="AF22" s="40"/>
      <c r="AG22" s="40"/>
      <c r="AH22" s="39"/>
      <c r="AI22" s="44"/>
      <c r="AJ22" s="45"/>
      <c r="AK22" s="41"/>
      <c r="AL22" s="41"/>
      <c r="AM22" s="41"/>
      <c r="AN22" s="41"/>
      <c r="AO22" s="41"/>
      <c r="AP22" s="41"/>
      <c r="AQ22" s="41"/>
      <c r="AR22" s="41"/>
      <c r="AS22" s="54"/>
      <c r="AV22" s="54"/>
      <c r="AW22" s="5"/>
      <c r="AX22" s="5"/>
      <c r="AY22" s="5"/>
      <c r="AZ22" t="str">
        <f t="shared" si="0"/>
        <v>US</v>
      </c>
      <c r="BA22" t="str">
        <f t="shared" si="1"/>
        <v>TL.314 US</v>
      </c>
      <c r="BB22" t="str">
        <f t="shared" si="2"/>
        <v>CFS</v>
      </c>
      <c r="BC22" t="str">
        <f>IFERROR(VLOOKUP(BF22,[1]Sheet1!$A:$G,7,FALSE),"")</f>
        <v>Miami</v>
      </c>
      <c r="BF22" t="str">
        <f t="shared" si="3"/>
        <v>USCFS2002</v>
      </c>
      <c r="BH22" s="9">
        <f t="shared" si="4"/>
        <v>640299</v>
      </c>
      <c r="BI22" s="10" t="str">
        <f t="shared" si="5"/>
        <v>64029990</v>
      </c>
    </row>
    <row r="23" spans="1:61" ht="15" customHeight="1">
      <c r="A23" s="19" t="s">
        <v>405</v>
      </c>
      <c r="B23" s="16" t="s">
        <v>218</v>
      </c>
      <c r="C23" s="17" t="s">
        <v>219</v>
      </c>
      <c r="D23" s="18">
        <v>46234</v>
      </c>
      <c r="E23" s="20" t="s">
        <v>237</v>
      </c>
      <c r="F23" s="19" t="s">
        <v>238</v>
      </c>
      <c r="G23" s="19" t="s">
        <v>70</v>
      </c>
      <c r="H23" s="21" t="s">
        <v>71</v>
      </c>
      <c r="I23" s="19" t="s">
        <v>231</v>
      </c>
      <c r="J23" s="19" t="s">
        <v>232</v>
      </c>
      <c r="K23" s="21">
        <v>46093</v>
      </c>
      <c r="L23" s="30">
        <v>2002</v>
      </c>
      <c r="M23" s="19" t="s">
        <v>222</v>
      </c>
      <c r="N23" s="19" t="s">
        <v>72</v>
      </c>
      <c r="O23" s="19" t="s">
        <v>223</v>
      </c>
      <c r="P23" s="24" t="s">
        <v>224</v>
      </c>
      <c r="Q23" s="19">
        <v>1</v>
      </c>
      <c r="R23" s="19">
        <v>14</v>
      </c>
      <c r="S23" s="19">
        <v>6.3E-2</v>
      </c>
      <c r="T23" s="19">
        <v>3.1818</v>
      </c>
      <c r="U23" s="19">
        <v>3.6818</v>
      </c>
      <c r="V23" s="19">
        <v>4.3</v>
      </c>
      <c r="W23" s="19">
        <v>0</v>
      </c>
      <c r="X23" s="19">
        <v>0</v>
      </c>
      <c r="Y23" s="36">
        <v>4.17</v>
      </c>
      <c r="Z23" s="36">
        <v>60.2</v>
      </c>
      <c r="AA23" s="36">
        <v>58.38</v>
      </c>
      <c r="AB23" s="37"/>
      <c r="AC23" s="38"/>
      <c r="AD23" s="39"/>
      <c r="AE23" s="39"/>
      <c r="AF23" s="40"/>
      <c r="AG23" s="40"/>
      <c r="AH23" s="39"/>
      <c r="AI23" s="44"/>
      <c r="AJ23" s="45"/>
      <c r="AK23" s="41"/>
      <c r="AL23" s="41"/>
      <c r="AM23" s="41"/>
      <c r="AN23" s="41"/>
      <c r="AO23" s="41"/>
      <c r="AP23" s="41"/>
      <c r="AQ23" s="41"/>
      <c r="AR23" s="41"/>
      <c r="AS23" s="54"/>
      <c r="AV23" s="54"/>
      <c r="AW23" s="5"/>
      <c r="AX23" s="5"/>
      <c r="AY23" s="5"/>
      <c r="AZ23" t="str">
        <f t="shared" si="0"/>
        <v>US</v>
      </c>
      <c r="BA23" t="str">
        <f t="shared" si="1"/>
        <v>TL.314 US</v>
      </c>
      <c r="BB23" t="str">
        <f t="shared" si="2"/>
        <v>CFS</v>
      </c>
      <c r="BC23" t="str">
        <f>IFERROR(VLOOKUP(BF23,[1]Sheet1!$A:$G,7,FALSE),"")</f>
        <v>Miami</v>
      </c>
      <c r="BF23" t="str">
        <f t="shared" si="3"/>
        <v>USCFS2002</v>
      </c>
      <c r="BH23" s="9">
        <f t="shared" si="4"/>
        <v>640299</v>
      </c>
      <c r="BI23" s="10" t="str">
        <f t="shared" si="5"/>
        <v>64029990</v>
      </c>
    </row>
    <row r="24" spans="1:61" ht="15" customHeight="1">
      <c r="A24" s="19" t="s">
        <v>405</v>
      </c>
      <c r="B24" s="16" t="s">
        <v>218</v>
      </c>
      <c r="C24" s="17" t="s">
        <v>219</v>
      </c>
      <c r="D24" s="18">
        <v>46234</v>
      </c>
      <c r="E24" s="20" t="s">
        <v>239</v>
      </c>
      <c r="F24" s="19" t="s">
        <v>240</v>
      </c>
      <c r="G24" s="19" t="s">
        <v>70</v>
      </c>
      <c r="H24" s="21" t="s">
        <v>71</v>
      </c>
      <c r="I24" s="19" t="s">
        <v>235</v>
      </c>
      <c r="J24" s="19" t="s">
        <v>236</v>
      </c>
      <c r="K24" s="21">
        <v>46093</v>
      </c>
      <c r="L24" s="30">
        <v>2002</v>
      </c>
      <c r="M24" s="19" t="s">
        <v>222</v>
      </c>
      <c r="N24" s="19" t="s">
        <v>72</v>
      </c>
      <c r="O24" s="19" t="s">
        <v>223</v>
      </c>
      <c r="P24" s="24" t="s">
        <v>224</v>
      </c>
      <c r="Q24" s="19">
        <v>1</v>
      </c>
      <c r="R24" s="19">
        <v>13</v>
      </c>
      <c r="S24" s="19">
        <v>6.3E-2</v>
      </c>
      <c r="T24" s="19">
        <v>2.9327999999999999</v>
      </c>
      <c r="U24" s="19">
        <v>3.4327999999999999</v>
      </c>
      <c r="V24" s="19">
        <v>4.3</v>
      </c>
      <c r="W24" s="19">
        <v>0</v>
      </c>
      <c r="X24" s="19">
        <v>0</v>
      </c>
      <c r="Y24" s="36">
        <v>4.17</v>
      </c>
      <c r="Z24" s="36">
        <v>55.9</v>
      </c>
      <c r="AA24" s="36">
        <v>54.21</v>
      </c>
      <c r="AB24" s="37"/>
      <c r="AC24" s="38"/>
      <c r="AD24" s="39"/>
      <c r="AE24" s="39"/>
      <c r="AF24" s="40"/>
      <c r="AG24" s="40"/>
      <c r="AH24" s="39"/>
      <c r="AI24" s="44"/>
      <c r="AJ24" s="45"/>
      <c r="AK24" s="41"/>
      <c r="AL24" s="41"/>
      <c r="AM24" s="41"/>
      <c r="AN24" s="41"/>
      <c r="AO24" s="41"/>
      <c r="AP24" s="41"/>
      <c r="AQ24" s="41"/>
      <c r="AR24" s="41"/>
      <c r="AS24" s="54"/>
      <c r="AV24" s="54"/>
      <c r="AW24" s="5"/>
      <c r="AX24" s="5"/>
      <c r="AY24" s="5"/>
      <c r="AZ24" t="str">
        <f t="shared" si="0"/>
        <v>US</v>
      </c>
      <c r="BA24" t="str">
        <f t="shared" si="1"/>
        <v>TL.314 US</v>
      </c>
      <c r="BB24" t="str">
        <f t="shared" si="2"/>
        <v>CFS</v>
      </c>
      <c r="BC24" t="str">
        <f>IFERROR(VLOOKUP(BF24,[1]Sheet1!$A:$G,7,FALSE),"")</f>
        <v>Miami</v>
      </c>
      <c r="BF24" t="str">
        <f t="shared" si="3"/>
        <v>USCFS2002</v>
      </c>
      <c r="BH24" s="9">
        <f t="shared" si="4"/>
        <v>640299</v>
      </c>
      <c r="BI24" s="10" t="str">
        <f t="shared" si="5"/>
        <v>64029990</v>
      </c>
    </row>
    <row r="25" spans="1:61" ht="15" customHeight="1">
      <c r="A25" s="19" t="s">
        <v>405</v>
      </c>
      <c r="B25" s="16" t="s">
        <v>218</v>
      </c>
      <c r="C25" s="17" t="s">
        <v>219</v>
      </c>
      <c r="D25" s="18">
        <v>46234</v>
      </c>
      <c r="E25" s="20" t="s">
        <v>241</v>
      </c>
      <c r="F25" s="19" t="s">
        <v>242</v>
      </c>
      <c r="G25" s="19" t="s">
        <v>70</v>
      </c>
      <c r="H25" s="21" t="s">
        <v>71</v>
      </c>
      <c r="I25" s="19" t="s">
        <v>231</v>
      </c>
      <c r="J25" s="19" t="s">
        <v>232</v>
      </c>
      <c r="K25" s="21">
        <v>46093</v>
      </c>
      <c r="L25" s="30">
        <v>2002</v>
      </c>
      <c r="M25" s="19" t="s">
        <v>222</v>
      </c>
      <c r="N25" s="19" t="s">
        <v>72</v>
      </c>
      <c r="O25" s="19" t="s">
        <v>223</v>
      </c>
      <c r="P25" s="24" t="s">
        <v>224</v>
      </c>
      <c r="Q25" s="19">
        <v>1</v>
      </c>
      <c r="R25" s="19">
        <v>15</v>
      </c>
      <c r="S25" s="19">
        <v>6.3E-2</v>
      </c>
      <c r="T25" s="19">
        <v>3.3708</v>
      </c>
      <c r="U25" s="19">
        <v>3.8708</v>
      </c>
      <c r="V25" s="19">
        <v>4.3</v>
      </c>
      <c r="W25" s="19">
        <v>0</v>
      </c>
      <c r="X25" s="19">
        <v>0</v>
      </c>
      <c r="Y25" s="36">
        <v>4.17</v>
      </c>
      <c r="Z25" s="36">
        <v>64.5</v>
      </c>
      <c r="AA25" s="36">
        <v>62.55</v>
      </c>
      <c r="AB25" s="37"/>
      <c r="AC25" s="38"/>
      <c r="AD25" s="39"/>
      <c r="AE25" s="39"/>
      <c r="AF25" s="40"/>
      <c r="AG25" s="40"/>
      <c r="AH25" s="39"/>
      <c r="AI25" s="44"/>
      <c r="AJ25" s="45"/>
      <c r="AK25" s="41"/>
      <c r="AL25" s="41"/>
      <c r="AM25" s="41"/>
      <c r="AN25" s="41"/>
      <c r="AO25" s="41"/>
      <c r="AP25" s="41"/>
      <c r="AQ25" s="41"/>
      <c r="AR25" s="41"/>
      <c r="AS25" s="54"/>
      <c r="AV25" s="54"/>
      <c r="AW25" s="5"/>
      <c r="AX25" s="5"/>
      <c r="AY25" s="5"/>
      <c r="AZ25" t="str">
        <f t="shared" si="0"/>
        <v>US</v>
      </c>
      <c r="BA25" t="str">
        <f t="shared" si="1"/>
        <v>TL.314 US</v>
      </c>
      <c r="BB25" t="str">
        <f t="shared" si="2"/>
        <v>CFS</v>
      </c>
      <c r="BC25" t="str">
        <f>IFERROR(VLOOKUP(BF25,[1]Sheet1!$A:$G,7,FALSE),"")</f>
        <v>Miami</v>
      </c>
      <c r="BF25" t="str">
        <f t="shared" si="3"/>
        <v>USCFS2002</v>
      </c>
      <c r="BH25" s="9">
        <f t="shared" si="4"/>
        <v>640299</v>
      </c>
      <c r="BI25" s="10" t="str">
        <f t="shared" si="5"/>
        <v>64029990</v>
      </c>
    </row>
    <row r="26" spans="1:61" ht="15" customHeight="1">
      <c r="A26" s="19" t="s">
        <v>405</v>
      </c>
      <c r="B26" s="16" t="s">
        <v>218</v>
      </c>
      <c r="C26" s="17" t="s">
        <v>219</v>
      </c>
      <c r="D26" s="18">
        <v>46234</v>
      </c>
      <c r="E26" s="20" t="s">
        <v>243</v>
      </c>
      <c r="F26" s="19" t="s">
        <v>244</v>
      </c>
      <c r="G26" s="19" t="s">
        <v>70</v>
      </c>
      <c r="H26" s="21" t="s">
        <v>71</v>
      </c>
      <c r="I26" s="19" t="s">
        <v>235</v>
      </c>
      <c r="J26" s="19" t="s">
        <v>236</v>
      </c>
      <c r="K26" s="21">
        <v>46093</v>
      </c>
      <c r="L26" s="30">
        <v>2002</v>
      </c>
      <c r="M26" s="19" t="s">
        <v>222</v>
      </c>
      <c r="N26" s="19" t="s">
        <v>72</v>
      </c>
      <c r="O26" s="19" t="s">
        <v>223</v>
      </c>
      <c r="P26" s="24" t="s">
        <v>224</v>
      </c>
      <c r="Q26" s="19">
        <v>1</v>
      </c>
      <c r="R26" s="19">
        <v>12</v>
      </c>
      <c r="S26" s="19">
        <v>7.0999999999999994E-2</v>
      </c>
      <c r="T26" s="19">
        <v>2.8793000000000002</v>
      </c>
      <c r="U26" s="19">
        <v>3.3793000000000002</v>
      </c>
      <c r="V26" s="19">
        <v>4.3</v>
      </c>
      <c r="W26" s="19">
        <v>0</v>
      </c>
      <c r="X26" s="19">
        <v>0</v>
      </c>
      <c r="Y26" s="36">
        <v>4.17</v>
      </c>
      <c r="Z26" s="36">
        <v>51.6</v>
      </c>
      <c r="AA26" s="36">
        <v>50.04</v>
      </c>
      <c r="AB26" s="37"/>
      <c r="AC26" s="38"/>
      <c r="AD26" s="39"/>
      <c r="AE26" s="39"/>
      <c r="AF26" s="40"/>
      <c r="AG26" s="40"/>
      <c r="AH26" s="39"/>
      <c r="AI26" s="44"/>
      <c r="AJ26" s="45"/>
      <c r="AK26" s="41"/>
      <c r="AL26" s="41"/>
      <c r="AM26" s="41"/>
      <c r="AN26" s="41"/>
      <c r="AO26" s="41"/>
      <c r="AP26" s="41"/>
      <c r="AQ26" s="41"/>
      <c r="AR26" s="41"/>
      <c r="AS26" s="54"/>
      <c r="AV26" s="54"/>
      <c r="AW26" s="5"/>
      <c r="AX26" s="5"/>
      <c r="AY26" s="5"/>
      <c r="AZ26" t="str">
        <f t="shared" si="0"/>
        <v>US</v>
      </c>
      <c r="BA26" t="str">
        <f t="shared" si="1"/>
        <v>TL.314 US</v>
      </c>
      <c r="BB26" t="str">
        <f t="shared" si="2"/>
        <v>CFS</v>
      </c>
      <c r="BC26" t="str">
        <f>IFERROR(VLOOKUP(BF26,[1]Sheet1!$A:$G,7,FALSE),"")</f>
        <v>Miami</v>
      </c>
      <c r="BF26" t="str">
        <f t="shared" si="3"/>
        <v>USCFS2002</v>
      </c>
      <c r="BH26" s="9">
        <f t="shared" si="4"/>
        <v>640299</v>
      </c>
      <c r="BI26" s="10" t="str">
        <f t="shared" si="5"/>
        <v>64029990</v>
      </c>
    </row>
    <row r="27" spans="1:61" ht="15" customHeight="1">
      <c r="A27" s="15"/>
      <c r="B27" s="16"/>
      <c r="C27" s="17"/>
      <c r="D27" s="18"/>
      <c r="E27" s="19"/>
      <c r="F27" s="19"/>
      <c r="G27" s="19"/>
      <c r="H27" s="19"/>
      <c r="I27" s="19"/>
      <c r="J27" s="19"/>
      <c r="K27" s="21"/>
      <c r="L27" s="30"/>
      <c r="M27" s="19"/>
      <c r="N27" s="19"/>
      <c r="O27" s="19"/>
      <c r="P27" s="24"/>
      <c r="Q27" s="19"/>
      <c r="R27" s="19"/>
      <c r="S27" s="19"/>
      <c r="T27" s="19"/>
      <c r="U27" s="19"/>
      <c r="V27" s="19"/>
      <c r="W27" s="19"/>
      <c r="X27" s="19"/>
      <c r="Y27" s="36"/>
      <c r="Z27" s="36"/>
      <c r="AA27" s="36"/>
      <c r="AB27" s="37"/>
      <c r="AC27" s="38"/>
      <c r="AD27" s="39"/>
      <c r="AE27" s="39"/>
      <c r="AF27" s="40"/>
      <c r="AG27" s="40"/>
      <c r="AH27" s="39"/>
      <c r="AI27" s="44"/>
      <c r="AJ27" s="45"/>
      <c r="AK27" s="41"/>
      <c r="AL27" s="41"/>
      <c r="AM27" s="41"/>
      <c r="AN27" s="41"/>
      <c r="AO27" s="41"/>
      <c r="AP27" s="41"/>
      <c r="AQ27" s="41"/>
      <c r="AR27" s="41"/>
      <c r="AS27" s="54"/>
      <c r="AV27" s="54"/>
      <c r="AW27" s="5"/>
      <c r="AX27" s="5"/>
      <c r="AY27" s="5"/>
      <c r="AZ27" t="str">
        <f t="shared" si="0"/>
        <v/>
      </c>
      <c r="BA27" t="str">
        <f t="shared" si="1"/>
        <v/>
      </c>
      <c r="BB27" t="str">
        <f t="shared" si="2"/>
        <v/>
      </c>
      <c r="BC27" t="str">
        <f>IFERROR(VLOOKUP(BF27,[1]Sheet1!$A:$G,7,FALSE),"")</f>
        <v/>
      </c>
      <c r="BF27" t="str">
        <f t="shared" ref="BF27" si="6">AZ27&amp;BB27&amp;L27</f>
        <v/>
      </c>
      <c r="BH27" s="9" t="str">
        <f t="shared" ref="BH27" si="7">IFERROR(IF(LEFT(I27,FIND("-",I27)-1)="211354",640419,640299),"")</f>
        <v/>
      </c>
      <c r="BI27" s="10" t="str">
        <f t="shared" ref="BI27" si="8">IF(BH27&lt;&gt;"",BH27&amp;90,"")</f>
        <v/>
      </c>
    </row>
    <row r="28" spans="1:61" ht="15" customHeight="1">
      <c r="A28" s="15" t="s">
        <v>245</v>
      </c>
      <c r="B28" s="16" t="s">
        <v>246</v>
      </c>
      <c r="C28" s="17" t="s">
        <v>247</v>
      </c>
      <c r="D28" s="18">
        <v>46234</v>
      </c>
      <c r="E28" s="20" t="s">
        <v>248</v>
      </c>
      <c r="F28" s="19" t="s">
        <v>249</v>
      </c>
      <c r="G28" s="19" t="s">
        <v>70</v>
      </c>
      <c r="H28" s="21" t="s">
        <v>71</v>
      </c>
      <c r="I28" s="19" t="s">
        <v>250</v>
      </c>
      <c r="J28" s="19" t="s">
        <v>251</v>
      </c>
      <c r="K28" s="21">
        <v>46130</v>
      </c>
      <c r="L28" s="30">
        <v>3001</v>
      </c>
      <c r="M28" s="19" t="s">
        <v>252</v>
      </c>
      <c r="N28" s="19" t="s">
        <v>56</v>
      </c>
      <c r="O28" s="19" t="s">
        <v>253</v>
      </c>
      <c r="P28" s="24" t="s">
        <v>224</v>
      </c>
      <c r="Q28" s="19">
        <v>38</v>
      </c>
      <c r="R28" s="19">
        <v>420</v>
      </c>
      <c r="S28" s="19">
        <v>2.85</v>
      </c>
      <c r="T28" s="19">
        <v>161.4</v>
      </c>
      <c r="U28" s="19">
        <v>180.4</v>
      </c>
      <c r="V28" s="19">
        <v>2.27</v>
      </c>
      <c r="W28" s="19">
        <v>0</v>
      </c>
      <c r="X28" s="19">
        <v>0</v>
      </c>
      <c r="Y28" s="36">
        <v>2.2000000000000002</v>
      </c>
      <c r="Z28" s="36">
        <v>953.4</v>
      </c>
      <c r="AA28" s="36">
        <v>924</v>
      </c>
      <c r="AB28" s="37"/>
      <c r="AC28" s="38"/>
      <c r="AD28" s="39"/>
      <c r="AE28" s="39"/>
      <c r="AF28" s="40"/>
      <c r="AG28" s="40"/>
      <c r="AH28" s="39"/>
      <c r="AI28" s="44"/>
      <c r="AJ28" s="45"/>
      <c r="AK28" s="41"/>
      <c r="AL28" s="41"/>
      <c r="AM28" s="41"/>
      <c r="AN28" s="41"/>
      <c r="AO28" s="41"/>
      <c r="AP28" s="41"/>
      <c r="AQ28" s="41"/>
      <c r="AR28" s="41"/>
      <c r="AS28" s="54"/>
      <c r="AV28" s="54"/>
      <c r="AW28" s="5"/>
      <c r="AX28" s="5"/>
      <c r="AY28" s="5"/>
      <c r="AZ28" t="str">
        <f t="shared" si="0"/>
        <v>VN</v>
      </c>
      <c r="BA28" t="str">
        <f t="shared" si="1"/>
        <v>TL.001 VN</v>
      </c>
      <c r="BB28" t="str">
        <f t="shared" si="2"/>
        <v>CFS</v>
      </c>
      <c r="BC28" t="str">
        <f>IFERROR(VLOOKUP(BF28,[1]Sheet1!$A:$G,7,FALSE),"")</f>
        <v/>
      </c>
      <c r="BF28" t="str">
        <f t="shared" si="3"/>
        <v>VNCFS3001</v>
      </c>
      <c r="BH28" s="9">
        <f t="shared" si="4"/>
        <v>640299</v>
      </c>
      <c r="BI28" s="10" t="str">
        <f t="shared" si="5"/>
        <v>64029990</v>
      </c>
    </row>
    <row r="29" spans="1:61" ht="15" customHeight="1">
      <c r="A29" s="15"/>
      <c r="B29" s="16"/>
      <c r="C29" s="17"/>
      <c r="D29" s="19"/>
      <c r="E29" s="19"/>
      <c r="F29" s="19"/>
      <c r="G29" s="19"/>
      <c r="H29" s="19"/>
      <c r="I29" s="19"/>
      <c r="J29" s="19"/>
      <c r="K29" s="21"/>
      <c r="L29" s="30"/>
      <c r="M29" s="19"/>
      <c r="N29" s="19"/>
      <c r="O29" s="19"/>
      <c r="P29" s="24"/>
      <c r="Q29" s="19"/>
      <c r="R29" s="19"/>
      <c r="S29" s="19"/>
      <c r="T29" s="19"/>
      <c r="U29" s="19"/>
      <c r="V29" s="19"/>
      <c r="W29" s="19"/>
      <c r="X29" s="19"/>
      <c r="Y29" s="36"/>
      <c r="Z29" s="36"/>
      <c r="AA29" s="36"/>
      <c r="AB29" s="37"/>
      <c r="AC29" s="38"/>
      <c r="AD29" s="39"/>
      <c r="AE29" s="39"/>
      <c r="AF29" s="40"/>
      <c r="AG29" s="40"/>
      <c r="AH29" s="39"/>
      <c r="AI29" s="44"/>
      <c r="AJ29" s="45"/>
      <c r="AK29" s="41"/>
      <c r="AL29" s="41"/>
      <c r="AM29" s="41"/>
      <c r="AN29" s="41"/>
      <c r="AO29" s="41"/>
      <c r="AP29" s="41"/>
      <c r="AQ29" s="41"/>
      <c r="AR29" s="41"/>
      <c r="AS29" s="54"/>
      <c r="AV29" s="54"/>
      <c r="AW29" s="5"/>
      <c r="AX29" s="5"/>
      <c r="AY29" s="5"/>
      <c r="AZ29" t="str">
        <f t="shared" si="0"/>
        <v/>
      </c>
      <c r="BA29" t="str">
        <f t="shared" si="1"/>
        <v/>
      </c>
      <c r="BB29" t="str">
        <f t="shared" si="2"/>
        <v/>
      </c>
      <c r="BC29" t="str">
        <f>IFERROR(VLOOKUP(BF29,[1]Sheet1!$A:$G,7,FALSE),"")</f>
        <v/>
      </c>
      <c r="BF29" t="str">
        <f t="shared" si="3"/>
        <v/>
      </c>
      <c r="BH29" s="9" t="str">
        <f t="shared" si="4"/>
        <v/>
      </c>
      <c r="BI29" s="10" t="str">
        <f t="shared" si="5"/>
        <v/>
      </c>
    </row>
    <row r="30" spans="1:61" ht="15" customHeight="1">
      <c r="A30" s="15" t="s">
        <v>254</v>
      </c>
      <c r="B30" s="16" t="s">
        <v>255</v>
      </c>
      <c r="C30" s="17" t="s">
        <v>256</v>
      </c>
      <c r="D30" s="18">
        <v>46234</v>
      </c>
      <c r="E30" s="19" t="s">
        <v>257</v>
      </c>
      <c r="F30" s="19" t="s">
        <v>258</v>
      </c>
      <c r="G30" s="19" t="s">
        <v>259</v>
      </c>
      <c r="H30" s="19" t="s">
        <v>55</v>
      </c>
      <c r="I30" s="19" t="s">
        <v>216</v>
      </c>
      <c r="J30" s="19" t="s">
        <v>217</v>
      </c>
      <c r="K30" s="21">
        <v>46157</v>
      </c>
      <c r="L30" s="30">
        <v>2004</v>
      </c>
      <c r="M30" s="19" t="s">
        <v>260</v>
      </c>
      <c r="N30" s="19" t="s">
        <v>72</v>
      </c>
      <c r="O30" s="19" t="s">
        <v>261</v>
      </c>
      <c r="P30" s="24" t="s">
        <v>262</v>
      </c>
      <c r="Q30" s="19">
        <v>80</v>
      </c>
      <c r="R30" s="19">
        <v>960</v>
      </c>
      <c r="S30" s="19">
        <v>5.7510000000000003</v>
      </c>
      <c r="T30" s="19">
        <v>344.07100000000003</v>
      </c>
      <c r="U30" s="19">
        <v>411.77</v>
      </c>
      <c r="V30" s="19">
        <v>2.42</v>
      </c>
      <c r="W30" s="19">
        <v>1.7000000000000001E-2</v>
      </c>
      <c r="X30" s="19">
        <v>0.08</v>
      </c>
      <c r="Y30" s="36">
        <v>2.44</v>
      </c>
      <c r="Z30" s="36">
        <v>2416.3200000000002</v>
      </c>
      <c r="AA30" s="36">
        <v>2342.4</v>
      </c>
      <c r="AB30" s="37"/>
      <c r="AC30" s="38"/>
      <c r="AD30" s="39"/>
      <c r="AE30" s="39"/>
      <c r="AF30" s="40"/>
      <c r="AG30" s="40"/>
      <c r="AH30" s="39"/>
      <c r="AI30" s="44"/>
      <c r="AJ30" s="45"/>
      <c r="AK30" s="41"/>
      <c r="AL30" s="41"/>
      <c r="AM30" s="41"/>
      <c r="AN30" s="41"/>
      <c r="AO30" s="41"/>
      <c r="AP30" s="41"/>
      <c r="AQ30" s="41"/>
      <c r="AR30" s="41"/>
      <c r="AS30" s="54"/>
      <c r="AV30" s="54"/>
      <c r="AW30" s="5"/>
      <c r="AX30" s="5"/>
      <c r="AY30" s="5"/>
      <c r="AZ30" t="str">
        <f t="shared" si="0"/>
        <v>EU</v>
      </c>
      <c r="BA30" t="str">
        <f t="shared" si="1"/>
        <v>TL.270 EU</v>
      </c>
      <c r="BB30" t="str">
        <f t="shared" si="2"/>
        <v>CY</v>
      </c>
      <c r="BC30" t="str">
        <f>IFERROR(VLOOKUP(BF30,[1]Sheet1!$A:$G,7,FALSE),"")</f>
        <v>ROTTERDAM</v>
      </c>
      <c r="BF30" t="str">
        <f t="shared" si="3"/>
        <v>EUCY2004</v>
      </c>
      <c r="BH30" s="9">
        <f t="shared" si="4"/>
        <v>640299</v>
      </c>
      <c r="BI30" s="10" t="str">
        <f t="shared" si="5"/>
        <v>64029990</v>
      </c>
    </row>
    <row r="31" spans="1:61" ht="15" customHeight="1">
      <c r="A31" s="15" t="s">
        <v>254</v>
      </c>
      <c r="B31" s="16" t="s">
        <v>255</v>
      </c>
      <c r="C31" s="17" t="s">
        <v>256</v>
      </c>
      <c r="D31" s="18">
        <v>46234</v>
      </c>
      <c r="E31" s="19" t="s">
        <v>263</v>
      </c>
      <c r="F31" s="19" t="s">
        <v>264</v>
      </c>
      <c r="G31" s="19" t="s">
        <v>259</v>
      </c>
      <c r="H31" s="19" t="s">
        <v>55</v>
      </c>
      <c r="I31" s="19" t="s">
        <v>265</v>
      </c>
      <c r="J31" s="19" t="s">
        <v>266</v>
      </c>
      <c r="K31" s="21">
        <v>46157</v>
      </c>
      <c r="L31" s="30">
        <v>2004</v>
      </c>
      <c r="M31" s="19" t="s">
        <v>260</v>
      </c>
      <c r="N31" s="19" t="s">
        <v>72</v>
      </c>
      <c r="O31" s="19" t="s">
        <v>261</v>
      </c>
      <c r="P31" s="24" t="s">
        <v>262</v>
      </c>
      <c r="Q31" s="19">
        <v>25</v>
      </c>
      <c r="R31" s="19">
        <v>300</v>
      </c>
      <c r="S31" s="19">
        <v>1.8</v>
      </c>
      <c r="T31" s="19">
        <v>107.29900000000001</v>
      </c>
      <c r="U31" s="19">
        <v>128.4753</v>
      </c>
      <c r="V31" s="19">
        <v>2.42</v>
      </c>
      <c r="W31" s="19">
        <v>1.7000000000000001E-2</v>
      </c>
      <c r="X31" s="19">
        <v>0.08</v>
      </c>
      <c r="Y31" s="36">
        <v>2.44</v>
      </c>
      <c r="Z31" s="36">
        <v>755.1</v>
      </c>
      <c r="AA31" s="36">
        <v>732</v>
      </c>
      <c r="AB31" s="37"/>
      <c r="AC31" s="38"/>
      <c r="AD31" s="39"/>
      <c r="AE31" s="39"/>
      <c r="AF31" s="40"/>
      <c r="AG31" s="40"/>
      <c r="AH31" s="39"/>
      <c r="AI31" s="44"/>
      <c r="AJ31" s="45"/>
      <c r="AK31" s="41"/>
      <c r="AL31" s="41"/>
      <c r="AM31" s="41"/>
      <c r="AN31" s="41"/>
      <c r="AO31" s="41"/>
      <c r="AP31" s="41"/>
      <c r="AQ31" s="41"/>
      <c r="AR31" s="41"/>
      <c r="AS31" s="54"/>
      <c r="AV31" s="54"/>
      <c r="AW31" s="5"/>
      <c r="AX31" s="5"/>
      <c r="AY31" s="5"/>
      <c r="AZ31" t="str">
        <f t="shared" si="0"/>
        <v>EU</v>
      </c>
      <c r="BA31" t="str">
        <f t="shared" si="1"/>
        <v>TL.270 EU</v>
      </c>
      <c r="BB31" t="str">
        <f t="shared" si="2"/>
        <v>CY</v>
      </c>
      <c r="BC31" t="str">
        <f>IFERROR(VLOOKUP(BF31,[1]Sheet1!$A:$G,7,FALSE),"")</f>
        <v>ROTTERDAM</v>
      </c>
      <c r="BF31" t="str">
        <f t="shared" si="3"/>
        <v>EUCY2004</v>
      </c>
      <c r="BH31" s="9">
        <f t="shared" si="4"/>
        <v>640299</v>
      </c>
      <c r="BI31" s="10" t="str">
        <f t="shared" si="5"/>
        <v>64029990</v>
      </c>
    </row>
    <row r="32" spans="1:61" ht="15" customHeight="1">
      <c r="A32" s="15" t="s">
        <v>254</v>
      </c>
      <c r="B32" s="16" t="s">
        <v>255</v>
      </c>
      <c r="C32" s="17" t="s">
        <v>256</v>
      </c>
      <c r="D32" s="18">
        <v>46234</v>
      </c>
      <c r="E32" s="19" t="s">
        <v>267</v>
      </c>
      <c r="F32" s="19" t="s">
        <v>268</v>
      </c>
      <c r="G32" s="19" t="s">
        <v>259</v>
      </c>
      <c r="H32" s="19" t="s">
        <v>55</v>
      </c>
      <c r="I32" s="19" t="s">
        <v>66</v>
      </c>
      <c r="J32" s="19" t="s">
        <v>67</v>
      </c>
      <c r="K32" s="21">
        <v>46157</v>
      </c>
      <c r="L32" s="30">
        <v>2004</v>
      </c>
      <c r="M32" s="19" t="s">
        <v>260</v>
      </c>
      <c r="N32" s="19" t="s">
        <v>72</v>
      </c>
      <c r="O32" s="19" t="s">
        <v>261</v>
      </c>
      <c r="P32" s="24" t="s">
        <v>262</v>
      </c>
      <c r="Q32" s="19">
        <v>10</v>
      </c>
      <c r="R32" s="19">
        <v>111</v>
      </c>
      <c r="S32" s="19">
        <v>0.71499999999999997</v>
      </c>
      <c r="T32" s="19">
        <v>38.985999999999997</v>
      </c>
      <c r="U32" s="19">
        <v>47.329799999999999</v>
      </c>
      <c r="V32" s="19">
        <v>2.42</v>
      </c>
      <c r="W32" s="19">
        <v>1.7000000000000001E-2</v>
      </c>
      <c r="X32" s="19">
        <v>0.08</v>
      </c>
      <c r="Y32" s="36">
        <v>2.44</v>
      </c>
      <c r="Z32" s="36">
        <v>279.387</v>
      </c>
      <c r="AA32" s="36">
        <v>270.83999999999997</v>
      </c>
      <c r="AB32" s="37"/>
      <c r="AC32" s="38"/>
      <c r="AD32" s="39"/>
      <c r="AE32" s="39"/>
      <c r="AF32" s="40"/>
      <c r="AG32" s="40"/>
      <c r="AH32" s="39"/>
      <c r="AI32" s="44"/>
      <c r="AJ32" s="45"/>
      <c r="AK32" s="41"/>
      <c r="AL32" s="41"/>
      <c r="AM32" s="41"/>
      <c r="AN32" s="41"/>
      <c r="AO32" s="41"/>
      <c r="AP32" s="41"/>
      <c r="AQ32" s="41"/>
      <c r="AR32" s="41"/>
      <c r="AS32" s="54"/>
      <c r="AV32" s="54"/>
      <c r="AW32" s="5"/>
      <c r="AX32" s="5"/>
      <c r="AY32" s="5"/>
      <c r="AZ32" t="str">
        <f t="shared" si="0"/>
        <v>EU</v>
      </c>
      <c r="BA32" t="str">
        <f t="shared" si="1"/>
        <v>TL.270 EU</v>
      </c>
      <c r="BB32" t="str">
        <f t="shared" si="2"/>
        <v>CY</v>
      </c>
      <c r="BC32" t="str">
        <f>IFERROR(VLOOKUP(BF32,[1]Sheet1!$A:$G,7,FALSE),"")</f>
        <v>ROTTERDAM</v>
      </c>
      <c r="BF32" t="str">
        <f t="shared" si="3"/>
        <v>EUCY2004</v>
      </c>
      <c r="BH32" s="9">
        <f t="shared" si="4"/>
        <v>640299</v>
      </c>
      <c r="BI32" s="10" t="str">
        <f t="shared" si="5"/>
        <v>64029990</v>
      </c>
    </row>
    <row r="33" spans="1:61" ht="15" customHeight="1">
      <c r="A33" s="15" t="s">
        <v>254</v>
      </c>
      <c r="B33" s="16" t="s">
        <v>255</v>
      </c>
      <c r="C33" s="17" t="s">
        <v>256</v>
      </c>
      <c r="D33" s="18">
        <v>46234</v>
      </c>
      <c r="E33" s="19" t="s">
        <v>269</v>
      </c>
      <c r="F33" s="19" t="s">
        <v>270</v>
      </c>
      <c r="G33" s="19" t="s">
        <v>259</v>
      </c>
      <c r="H33" s="19" t="s">
        <v>55</v>
      </c>
      <c r="I33" s="19" t="s">
        <v>271</v>
      </c>
      <c r="J33" s="19" t="s">
        <v>272</v>
      </c>
      <c r="K33" s="21">
        <v>46157</v>
      </c>
      <c r="L33" s="30">
        <v>2004</v>
      </c>
      <c r="M33" s="19" t="s">
        <v>260</v>
      </c>
      <c r="N33" s="19" t="s">
        <v>72</v>
      </c>
      <c r="O33" s="19" t="s">
        <v>261</v>
      </c>
      <c r="P33" s="24" t="s">
        <v>262</v>
      </c>
      <c r="Q33" s="19">
        <v>35</v>
      </c>
      <c r="R33" s="19">
        <v>418</v>
      </c>
      <c r="S33" s="19">
        <v>2.5299999999999998</v>
      </c>
      <c r="T33" s="19">
        <v>149.702</v>
      </c>
      <c r="U33" s="19">
        <v>179.37379999999999</v>
      </c>
      <c r="V33" s="19">
        <v>2.42</v>
      </c>
      <c r="W33" s="19">
        <v>1.7000000000000001E-2</v>
      </c>
      <c r="X33" s="19">
        <v>0.08</v>
      </c>
      <c r="Y33" s="36">
        <v>2.44</v>
      </c>
      <c r="Z33" s="36">
        <v>1052.106</v>
      </c>
      <c r="AA33" s="36">
        <v>1019.92</v>
      </c>
      <c r="AB33" s="37"/>
      <c r="AC33" s="38"/>
      <c r="AD33" s="39"/>
      <c r="AE33" s="39"/>
      <c r="AF33" s="40"/>
      <c r="AG33" s="40"/>
      <c r="AH33" s="39"/>
      <c r="AI33" s="44"/>
      <c r="AJ33" s="45"/>
      <c r="AK33" s="41"/>
      <c r="AL33" s="41"/>
      <c r="AM33" s="41"/>
      <c r="AN33" s="41"/>
      <c r="AO33" s="41"/>
      <c r="AP33" s="41"/>
      <c r="AQ33" s="41"/>
      <c r="AR33" s="41"/>
      <c r="AS33" s="54"/>
      <c r="AV33" s="54"/>
      <c r="AW33" s="5"/>
      <c r="AX33" s="5"/>
      <c r="AY33" s="5"/>
      <c r="AZ33" t="str">
        <f t="shared" si="0"/>
        <v>EU</v>
      </c>
      <c r="BA33" t="str">
        <f t="shared" si="1"/>
        <v>TL.270 EU</v>
      </c>
      <c r="BB33" t="str">
        <f t="shared" si="2"/>
        <v>CY</v>
      </c>
      <c r="BC33" t="str">
        <f>IFERROR(VLOOKUP(BF33,[1]Sheet1!$A:$G,7,FALSE),"")</f>
        <v>ROTTERDAM</v>
      </c>
      <c r="BF33" t="str">
        <f t="shared" si="3"/>
        <v>EUCY2004</v>
      </c>
      <c r="BH33" s="9">
        <f t="shared" si="4"/>
        <v>640299</v>
      </c>
      <c r="BI33" s="10" t="str">
        <f t="shared" si="5"/>
        <v>64029990</v>
      </c>
    </row>
    <row r="34" spans="1:61" ht="15" customHeight="1">
      <c r="A34" s="15" t="s">
        <v>254</v>
      </c>
      <c r="B34" s="16" t="s">
        <v>255</v>
      </c>
      <c r="C34" s="17" t="s">
        <v>256</v>
      </c>
      <c r="D34" s="18">
        <v>46234</v>
      </c>
      <c r="E34" s="19" t="s">
        <v>273</v>
      </c>
      <c r="F34" s="19" t="s">
        <v>274</v>
      </c>
      <c r="G34" s="19" t="s">
        <v>259</v>
      </c>
      <c r="H34" s="19" t="s">
        <v>55</v>
      </c>
      <c r="I34" s="19" t="s">
        <v>64</v>
      </c>
      <c r="J34" s="19" t="s">
        <v>65</v>
      </c>
      <c r="K34" s="21">
        <v>46157</v>
      </c>
      <c r="L34" s="30">
        <v>2004</v>
      </c>
      <c r="M34" s="19" t="s">
        <v>260</v>
      </c>
      <c r="N34" s="19" t="s">
        <v>72</v>
      </c>
      <c r="O34" s="19" t="s">
        <v>261</v>
      </c>
      <c r="P34" s="24" t="s">
        <v>262</v>
      </c>
      <c r="Q34" s="19">
        <v>39</v>
      </c>
      <c r="R34" s="19">
        <v>464</v>
      </c>
      <c r="S34" s="19">
        <v>3.194</v>
      </c>
      <c r="T34" s="19">
        <v>225.25899999999999</v>
      </c>
      <c r="U34" s="19">
        <v>260.84030000000001</v>
      </c>
      <c r="V34" s="19">
        <v>4.75</v>
      </c>
      <c r="W34" s="19">
        <v>1.7000000000000001E-2</v>
      </c>
      <c r="X34" s="19">
        <v>0.08</v>
      </c>
      <c r="Y34" s="36">
        <v>4.71</v>
      </c>
      <c r="Z34" s="36">
        <v>2249.0079999999998</v>
      </c>
      <c r="AA34" s="36">
        <v>2185.44</v>
      </c>
      <c r="AB34" s="37"/>
      <c r="AC34" s="38"/>
      <c r="AD34" s="39"/>
      <c r="AE34" s="39"/>
      <c r="AF34" s="40"/>
      <c r="AG34" s="40"/>
      <c r="AH34" s="39"/>
      <c r="AI34" s="44"/>
      <c r="AJ34" s="45"/>
      <c r="AK34" s="41"/>
      <c r="AL34" s="41"/>
      <c r="AM34" s="41"/>
      <c r="AN34" s="41"/>
      <c r="AO34" s="41"/>
      <c r="AP34" s="41"/>
      <c r="AQ34" s="41"/>
      <c r="AR34" s="41"/>
      <c r="AS34" s="54"/>
      <c r="AV34" s="54"/>
      <c r="AW34" s="5"/>
      <c r="AX34" s="5"/>
      <c r="AY34" s="5"/>
      <c r="AZ34" t="str">
        <f t="shared" si="0"/>
        <v>EU</v>
      </c>
      <c r="BA34" t="str">
        <f t="shared" si="1"/>
        <v>TL.270 EU</v>
      </c>
      <c r="BB34" t="str">
        <f t="shared" si="2"/>
        <v>CY</v>
      </c>
      <c r="BC34" t="str">
        <f>IFERROR(VLOOKUP(BF34,[1]Sheet1!$A:$G,7,FALSE),"")</f>
        <v>ROTTERDAM</v>
      </c>
      <c r="BF34" t="str">
        <f t="shared" si="3"/>
        <v>EUCY2004</v>
      </c>
      <c r="BH34" s="9">
        <f t="shared" si="4"/>
        <v>640299</v>
      </c>
      <c r="BI34" s="10" t="str">
        <f t="shared" si="5"/>
        <v>64029990</v>
      </c>
    </row>
    <row r="35" spans="1:61" ht="15" customHeight="1">
      <c r="A35" s="15" t="s">
        <v>254</v>
      </c>
      <c r="B35" s="16" t="s">
        <v>255</v>
      </c>
      <c r="C35" s="17" t="s">
        <v>256</v>
      </c>
      <c r="D35" s="18">
        <v>46234</v>
      </c>
      <c r="E35" s="19" t="s">
        <v>275</v>
      </c>
      <c r="F35" s="19" t="s">
        <v>276</v>
      </c>
      <c r="G35" s="19" t="s">
        <v>259</v>
      </c>
      <c r="H35" s="19" t="s">
        <v>55</v>
      </c>
      <c r="I35" s="19" t="s">
        <v>186</v>
      </c>
      <c r="J35" s="19" t="s">
        <v>187</v>
      </c>
      <c r="K35" s="21">
        <v>46157</v>
      </c>
      <c r="L35" s="30">
        <v>2004</v>
      </c>
      <c r="M35" s="19" t="s">
        <v>260</v>
      </c>
      <c r="N35" s="19" t="s">
        <v>72</v>
      </c>
      <c r="O35" s="19" t="s">
        <v>261</v>
      </c>
      <c r="P35" s="24" t="s">
        <v>262</v>
      </c>
      <c r="Q35" s="19">
        <v>10</v>
      </c>
      <c r="R35" s="19">
        <v>112</v>
      </c>
      <c r="S35" s="19">
        <v>0.68899999999999995</v>
      </c>
      <c r="T35" s="19">
        <v>48.872999999999998</v>
      </c>
      <c r="U35" s="19">
        <v>56.974600000000002</v>
      </c>
      <c r="V35" s="19">
        <v>4.75</v>
      </c>
      <c r="W35" s="19">
        <v>1.7000000000000001E-2</v>
      </c>
      <c r="X35" s="19">
        <v>0.08</v>
      </c>
      <c r="Y35" s="36">
        <v>4.71</v>
      </c>
      <c r="Z35" s="36">
        <v>542.86400000000003</v>
      </c>
      <c r="AA35" s="36">
        <v>527.52</v>
      </c>
      <c r="AB35" s="37"/>
      <c r="AC35" s="38"/>
      <c r="AD35" s="39"/>
      <c r="AE35" s="39"/>
      <c r="AF35" s="40"/>
      <c r="AG35" s="40"/>
      <c r="AH35" s="39"/>
      <c r="AI35" s="44"/>
      <c r="AJ35" s="45"/>
      <c r="AK35" s="41"/>
      <c r="AL35" s="41"/>
      <c r="AM35" s="41"/>
      <c r="AN35" s="41"/>
      <c r="AO35" s="41"/>
      <c r="AP35" s="41"/>
      <c r="AQ35" s="41"/>
      <c r="AR35" s="41"/>
      <c r="AS35" s="54"/>
      <c r="AV35" s="54"/>
      <c r="AW35" s="5"/>
      <c r="AX35" s="5"/>
      <c r="AY35" s="5"/>
      <c r="AZ35" t="str">
        <f t="shared" si="0"/>
        <v>EU</v>
      </c>
      <c r="BA35" t="str">
        <f t="shared" si="1"/>
        <v>TL.270 EU</v>
      </c>
      <c r="BB35" t="str">
        <f t="shared" si="2"/>
        <v>CY</v>
      </c>
      <c r="BC35" t="str">
        <f>IFERROR(VLOOKUP(BF35,[1]Sheet1!$A:$G,7,FALSE),"")</f>
        <v>ROTTERDAM</v>
      </c>
      <c r="BF35" t="str">
        <f t="shared" si="3"/>
        <v>EUCY2004</v>
      </c>
      <c r="BH35" s="9">
        <f t="shared" si="4"/>
        <v>640299</v>
      </c>
      <c r="BI35" s="10" t="str">
        <f t="shared" si="5"/>
        <v>64029990</v>
      </c>
    </row>
    <row r="36" spans="1:61" ht="15" customHeight="1">
      <c r="A36" s="15" t="s">
        <v>254</v>
      </c>
      <c r="B36" s="16" t="s">
        <v>255</v>
      </c>
      <c r="C36" s="17" t="s">
        <v>256</v>
      </c>
      <c r="D36" s="18">
        <v>46234</v>
      </c>
      <c r="E36" s="19" t="s">
        <v>277</v>
      </c>
      <c r="F36" s="19" t="s">
        <v>278</v>
      </c>
      <c r="G36" s="19" t="s">
        <v>259</v>
      </c>
      <c r="H36" s="19" t="s">
        <v>55</v>
      </c>
      <c r="I36" s="19" t="s">
        <v>279</v>
      </c>
      <c r="J36" s="19" t="s">
        <v>280</v>
      </c>
      <c r="K36" s="21">
        <v>46157</v>
      </c>
      <c r="L36" s="30">
        <v>2004</v>
      </c>
      <c r="M36" s="19" t="s">
        <v>260</v>
      </c>
      <c r="N36" s="19" t="s">
        <v>72</v>
      </c>
      <c r="O36" s="19" t="s">
        <v>261</v>
      </c>
      <c r="P36" s="24" t="s">
        <v>262</v>
      </c>
      <c r="Q36" s="19">
        <v>36</v>
      </c>
      <c r="R36" s="19">
        <v>421</v>
      </c>
      <c r="S36" s="19">
        <v>2.5830000000000002</v>
      </c>
      <c r="T36" s="19">
        <v>155.18299999999999</v>
      </c>
      <c r="U36" s="19">
        <v>185.5214</v>
      </c>
      <c r="V36" s="19">
        <v>2.8</v>
      </c>
      <c r="W36" s="19">
        <v>1.7000000000000001E-2</v>
      </c>
      <c r="X36" s="19">
        <v>0.08</v>
      </c>
      <c r="Y36" s="36">
        <v>2.81</v>
      </c>
      <c r="Z36" s="36">
        <v>1219.6369999999999</v>
      </c>
      <c r="AA36" s="36">
        <v>1183.01</v>
      </c>
      <c r="AB36" s="37"/>
      <c r="AC36" s="38"/>
      <c r="AD36" s="39"/>
      <c r="AE36" s="39"/>
      <c r="AF36" s="40"/>
      <c r="AG36" s="40"/>
      <c r="AH36" s="39"/>
      <c r="AI36" s="44"/>
      <c r="AJ36" s="45"/>
      <c r="AK36" s="41"/>
      <c r="AL36" s="41"/>
      <c r="AM36" s="41"/>
      <c r="AN36" s="41"/>
      <c r="AO36" s="41"/>
      <c r="AP36" s="41"/>
      <c r="AQ36" s="41"/>
      <c r="AR36" s="41"/>
      <c r="AS36" s="54"/>
      <c r="AV36" s="54"/>
      <c r="AW36" s="5"/>
      <c r="AX36" s="5"/>
      <c r="AY36" s="5"/>
      <c r="AZ36" t="str">
        <f t="shared" si="0"/>
        <v>EU</v>
      </c>
      <c r="BA36" t="str">
        <f t="shared" si="1"/>
        <v>TL.270 EU</v>
      </c>
      <c r="BB36" t="str">
        <f t="shared" si="2"/>
        <v>CY</v>
      </c>
      <c r="BC36" t="str">
        <f>IFERROR(VLOOKUP(BF36,[1]Sheet1!$A:$G,7,FALSE),"")</f>
        <v>ROTTERDAM</v>
      </c>
      <c r="BF36" t="str">
        <f t="shared" si="3"/>
        <v>EUCY2004</v>
      </c>
      <c r="BH36" s="9">
        <f t="shared" si="4"/>
        <v>640299</v>
      </c>
      <c r="BI36" s="10" t="str">
        <f t="shared" si="5"/>
        <v>64029990</v>
      </c>
    </row>
    <row r="37" spans="1:61" ht="15" customHeight="1">
      <c r="A37" s="15" t="s">
        <v>254</v>
      </c>
      <c r="B37" s="16" t="s">
        <v>255</v>
      </c>
      <c r="C37" s="17" t="s">
        <v>256</v>
      </c>
      <c r="D37" s="18">
        <v>46234</v>
      </c>
      <c r="E37" s="19" t="s">
        <v>281</v>
      </c>
      <c r="F37" s="19" t="s">
        <v>282</v>
      </c>
      <c r="G37" s="19" t="s">
        <v>259</v>
      </c>
      <c r="H37" s="19" t="s">
        <v>55</v>
      </c>
      <c r="I37" s="19" t="s">
        <v>283</v>
      </c>
      <c r="J37" s="19" t="s">
        <v>284</v>
      </c>
      <c r="K37" s="21">
        <v>46157</v>
      </c>
      <c r="L37" s="30">
        <v>2004</v>
      </c>
      <c r="M37" s="19" t="s">
        <v>260</v>
      </c>
      <c r="N37" s="19" t="s">
        <v>72</v>
      </c>
      <c r="O37" s="19" t="s">
        <v>261</v>
      </c>
      <c r="P37" s="24" t="s">
        <v>262</v>
      </c>
      <c r="Q37" s="19">
        <v>16</v>
      </c>
      <c r="R37" s="19">
        <v>186</v>
      </c>
      <c r="S37" s="19">
        <v>1.304</v>
      </c>
      <c r="T37" s="19">
        <v>90.23</v>
      </c>
      <c r="U37" s="19">
        <v>104.806</v>
      </c>
      <c r="V37" s="19">
        <v>4.5199999999999996</v>
      </c>
      <c r="W37" s="19">
        <v>1.7000000000000001E-2</v>
      </c>
      <c r="X37" s="19">
        <v>0.08</v>
      </c>
      <c r="Y37" s="36">
        <v>4.4800000000000004</v>
      </c>
      <c r="Z37" s="36">
        <v>858.76199999999994</v>
      </c>
      <c r="AA37" s="36">
        <v>833.28</v>
      </c>
      <c r="AB37" s="37"/>
      <c r="AC37" s="38"/>
      <c r="AD37" s="39"/>
      <c r="AE37" s="39"/>
      <c r="AF37" s="40"/>
      <c r="AG37" s="40"/>
      <c r="AH37" s="39"/>
      <c r="AI37" s="44"/>
      <c r="AJ37" s="45"/>
      <c r="AK37" s="41"/>
      <c r="AL37" s="41"/>
      <c r="AM37" s="41"/>
      <c r="AN37" s="41"/>
      <c r="AO37" s="41"/>
      <c r="AP37" s="41"/>
      <c r="AQ37" s="41"/>
      <c r="AR37" s="41"/>
      <c r="AS37" s="54"/>
      <c r="AV37" s="54"/>
      <c r="AW37" s="5"/>
      <c r="AX37" s="5"/>
      <c r="AY37" s="5"/>
      <c r="AZ37" t="str">
        <f t="shared" si="0"/>
        <v>EU</v>
      </c>
      <c r="BA37" t="str">
        <f t="shared" si="1"/>
        <v>TL.270 EU</v>
      </c>
      <c r="BB37" t="str">
        <f t="shared" si="2"/>
        <v>CY</v>
      </c>
      <c r="BC37" t="str">
        <f>IFERROR(VLOOKUP(BF37,[1]Sheet1!$A:$G,7,FALSE),"")</f>
        <v>ROTTERDAM</v>
      </c>
      <c r="BF37" t="str">
        <f t="shared" si="3"/>
        <v>EUCY2004</v>
      </c>
      <c r="BH37" s="9">
        <f t="shared" si="4"/>
        <v>640299</v>
      </c>
      <c r="BI37" s="10" t="str">
        <f t="shared" si="5"/>
        <v>64029990</v>
      </c>
    </row>
    <row r="38" spans="1:61" ht="15" customHeight="1">
      <c r="A38" s="15" t="s">
        <v>254</v>
      </c>
      <c r="B38" s="16" t="s">
        <v>255</v>
      </c>
      <c r="C38" s="17" t="s">
        <v>256</v>
      </c>
      <c r="D38" s="18">
        <v>46234</v>
      </c>
      <c r="E38" s="19" t="s">
        <v>285</v>
      </c>
      <c r="F38" s="19" t="s">
        <v>286</v>
      </c>
      <c r="G38" s="19" t="s">
        <v>259</v>
      </c>
      <c r="H38" s="19" t="s">
        <v>55</v>
      </c>
      <c r="I38" s="19" t="s">
        <v>287</v>
      </c>
      <c r="J38" s="19" t="s">
        <v>288</v>
      </c>
      <c r="K38" s="21">
        <v>46157</v>
      </c>
      <c r="L38" s="30">
        <v>2004</v>
      </c>
      <c r="M38" s="19" t="s">
        <v>260</v>
      </c>
      <c r="N38" s="19" t="s">
        <v>72</v>
      </c>
      <c r="O38" s="19" t="s">
        <v>261</v>
      </c>
      <c r="P38" s="24" t="s">
        <v>262</v>
      </c>
      <c r="Q38" s="19">
        <v>18</v>
      </c>
      <c r="R38" s="19">
        <v>206</v>
      </c>
      <c r="S38" s="19">
        <v>1.448</v>
      </c>
      <c r="T38" s="19">
        <v>99.965999999999994</v>
      </c>
      <c r="U38" s="19">
        <v>116.10680000000001</v>
      </c>
      <c r="V38" s="19">
        <v>4.5199999999999996</v>
      </c>
      <c r="W38" s="19">
        <v>1.7000000000000001E-2</v>
      </c>
      <c r="X38" s="19">
        <v>0.08</v>
      </c>
      <c r="Y38" s="36">
        <v>4.4800000000000004</v>
      </c>
      <c r="Z38" s="36">
        <v>951.10199999999998</v>
      </c>
      <c r="AA38" s="36">
        <v>922.88</v>
      </c>
      <c r="AB38" s="37"/>
      <c r="AC38" s="38"/>
      <c r="AD38" s="39"/>
      <c r="AE38" s="39"/>
      <c r="AF38" s="40"/>
      <c r="AG38" s="40"/>
      <c r="AH38" s="39"/>
      <c r="AI38" s="44"/>
      <c r="AJ38" s="45"/>
      <c r="AK38" s="41"/>
      <c r="AL38" s="41"/>
      <c r="AM38" s="41"/>
      <c r="AN38" s="41"/>
      <c r="AO38" s="41"/>
      <c r="AP38" s="41"/>
      <c r="AQ38" s="41"/>
      <c r="AR38" s="41"/>
      <c r="AS38" s="54"/>
      <c r="AV38" s="54"/>
      <c r="AW38" s="5"/>
      <c r="AX38" s="5"/>
      <c r="AY38" s="5"/>
      <c r="AZ38" t="str">
        <f t="shared" si="0"/>
        <v>EU</v>
      </c>
      <c r="BA38" t="str">
        <f t="shared" si="1"/>
        <v>TL.270 EU</v>
      </c>
      <c r="BB38" t="str">
        <f t="shared" si="2"/>
        <v>CY</v>
      </c>
      <c r="BC38" t="str">
        <f>IFERROR(VLOOKUP(BF38,[1]Sheet1!$A:$G,7,FALSE),"")</f>
        <v>ROTTERDAM</v>
      </c>
      <c r="BF38" t="str">
        <f t="shared" ref="BF38" si="9">AZ38&amp;BB38&amp;L38</f>
        <v>EUCY2004</v>
      </c>
      <c r="BH38" s="9">
        <f t="shared" si="4"/>
        <v>640299</v>
      </c>
      <c r="BI38" s="10" t="str">
        <f t="shared" si="5"/>
        <v>64029990</v>
      </c>
    </row>
    <row r="39" spans="1:61">
      <c r="A39" t="s">
        <v>254</v>
      </c>
      <c r="B39" t="s">
        <v>255</v>
      </c>
      <c r="C39" t="s">
        <v>256</v>
      </c>
      <c r="D39" s="1">
        <v>46234</v>
      </c>
      <c r="E39" t="s">
        <v>289</v>
      </c>
      <c r="F39" t="s">
        <v>290</v>
      </c>
      <c r="G39" t="s">
        <v>259</v>
      </c>
      <c r="H39" t="s">
        <v>55</v>
      </c>
      <c r="I39" t="s">
        <v>291</v>
      </c>
      <c r="J39" t="s">
        <v>292</v>
      </c>
      <c r="K39" s="3">
        <v>46157</v>
      </c>
      <c r="L39">
        <v>2004</v>
      </c>
      <c r="M39" t="s">
        <v>260</v>
      </c>
      <c r="N39" t="s">
        <v>72</v>
      </c>
      <c r="O39" t="s">
        <v>261</v>
      </c>
      <c r="P39" t="s">
        <v>262</v>
      </c>
      <c r="Q39">
        <v>21</v>
      </c>
      <c r="R39">
        <v>249</v>
      </c>
      <c r="S39">
        <v>1.6559999999999999</v>
      </c>
      <c r="T39">
        <v>118.756</v>
      </c>
      <c r="U39">
        <v>137.4117</v>
      </c>
      <c r="V39">
        <v>4.5199999999999996</v>
      </c>
      <c r="W39">
        <v>1.7000000000000001E-2</v>
      </c>
      <c r="X39">
        <v>0.08</v>
      </c>
      <c r="Y39" s="5">
        <v>4.4800000000000004</v>
      </c>
      <c r="Z39" s="5">
        <v>1149.633</v>
      </c>
      <c r="AA39" s="5">
        <v>1115.52</v>
      </c>
      <c r="AZ39" t="str">
        <f t="shared" ref="AZ39:AZ49" si="10">IF(LEN(A39)=9,MID(A39,FIND("-",A39)+1,FIND("-",A39,FIND("-",A39)+1)-FIND("-",A39)-1),IF(LEN(A39)=10,MID(A39,FIND("-",A39)+1,FIND("-",A39,FIND("-",A39)+1)-FIND("-",A39)-1),IF(LEN(A39)=12,MID(A39,FIND("-",A39,FIND("-",A39)+1)+1,FIND("-",A39,FIND("-",A39,FIND("-",A39)+1)+1)-FIND("-",A39,FIND("-",A39)+1)-1),IF(LEN(A39)=13,MID(A39,FIND("-",A39,FIND("-",A39)+1)+1,FIND("-",A39,FIND("-",A39,FIND("-",A39)+1)+1)-FIND("-",A39,FIND("-",A39)+1)-1),IF(LEN(A39)=14,MID(A39,FIND("-",A39,FIND("-",A39)+1)+1,FIND("-",A39,FIND("-",A39,FIND("-",A39)+1)+1)-FIND("-",A39,FIND("-",A39)+1)-1),"")))))</f>
        <v>EU</v>
      </c>
      <c r="BA39" t="str">
        <f t="shared" ref="BA39:BA49" si="11">IFERROR("TL."&amp;RIGHT(A39,3)&amp;" "&amp;TRIM(MID(SUBSTITUTE(A39,"-",REPT(" ",100)),LEN(SUBSTITUTE(A39,"-",REPT(" ",100)))-200,100)),"")</f>
        <v>TL.270 EU</v>
      </c>
      <c r="BB39" t="str">
        <f t="shared" ref="BB39:BB49" si="12">IFERROR(LEFT(A39,FIND("-",A39)-1),"")</f>
        <v>CY</v>
      </c>
      <c r="BC39" t="str">
        <f>IFERROR(VLOOKUP(BF39,[1]Sheet1!$A:$G,7,FALSE),"")</f>
        <v>ROTTERDAM</v>
      </c>
      <c r="BF39" t="str">
        <f t="shared" ref="BF39:BF49" si="13">AZ39&amp;BB39&amp;L39</f>
        <v>EUCY2004</v>
      </c>
      <c r="BH39" s="9">
        <f t="shared" ref="BH39:BH49" si="14">IFERROR(IF(LEFT(I39,FIND("-",I39)-1)="211354",640419,640299),"")</f>
        <v>640299</v>
      </c>
    </row>
    <row r="40" spans="1:61">
      <c r="A40" t="s">
        <v>254</v>
      </c>
      <c r="B40" t="s">
        <v>255</v>
      </c>
      <c r="C40" t="s">
        <v>256</v>
      </c>
      <c r="D40" s="1">
        <v>46234</v>
      </c>
      <c r="E40" t="s">
        <v>293</v>
      </c>
      <c r="F40" t="s">
        <v>294</v>
      </c>
      <c r="G40" t="s">
        <v>259</v>
      </c>
      <c r="H40" t="s">
        <v>55</v>
      </c>
      <c r="I40" t="s">
        <v>295</v>
      </c>
      <c r="J40" t="s">
        <v>296</v>
      </c>
      <c r="K40" s="3">
        <v>46157</v>
      </c>
      <c r="L40">
        <v>2004</v>
      </c>
      <c r="M40" t="s">
        <v>260</v>
      </c>
      <c r="N40" t="s">
        <v>72</v>
      </c>
      <c r="O40" t="s">
        <v>261</v>
      </c>
      <c r="P40" t="s">
        <v>262</v>
      </c>
      <c r="Q40">
        <v>14</v>
      </c>
      <c r="R40">
        <v>162</v>
      </c>
      <c r="S40">
        <v>0.96099999999999997</v>
      </c>
      <c r="T40">
        <v>69.052999999999997</v>
      </c>
      <c r="U40">
        <v>80.486900000000006</v>
      </c>
      <c r="V40">
        <v>4.5199999999999996</v>
      </c>
      <c r="W40">
        <v>1.7000000000000001E-2</v>
      </c>
      <c r="X40">
        <v>0.08</v>
      </c>
      <c r="Y40" s="5">
        <v>4.4800000000000004</v>
      </c>
      <c r="Z40" s="5">
        <v>747.95399999999995</v>
      </c>
      <c r="AA40" s="5">
        <v>725.76</v>
      </c>
      <c r="AZ40" t="str">
        <f t="shared" si="10"/>
        <v>EU</v>
      </c>
      <c r="BA40" t="str">
        <f t="shared" si="11"/>
        <v>TL.270 EU</v>
      </c>
      <c r="BB40" t="str">
        <f t="shared" si="12"/>
        <v>CY</v>
      </c>
      <c r="BC40" t="str">
        <f>IFERROR(VLOOKUP(BF40,[1]Sheet1!$A:$G,7,FALSE),"")</f>
        <v>ROTTERDAM</v>
      </c>
      <c r="BF40" t="str">
        <f t="shared" si="13"/>
        <v>EUCY2004</v>
      </c>
      <c r="BH40" s="9">
        <f t="shared" si="14"/>
        <v>640299</v>
      </c>
      <c r="BI40" s="10" t="str">
        <f t="shared" ref="BI40:BI49" si="15">IF(BH40&lt;&gt;"",BH40&amp;90,"")</f>
        <v>64029990</v>
      </c>
    </row>
    <row r="41" spans="1:61">
      <c r="A41" t="s">
        <v>254</v>
      </c>
      <c r="B41" t="s">
        <v>255</v>
      </c>
      <c r="C41" t="s">
        <v>256</v>
      </c>
      <c r="D41" s="1">
        <v>46234</v>
      </c>
      <c r="E41" t="s">
        <v>297</v>
      </c>
      <c r="F41" t="s">
        <v>298</v>
      </c>
      <c r="G41" t="s">
        <v>259</v>
      </c>
      <c r="H41" t="s">
        <v>55</v>
      </c>
      <c r="I41" t="s">
        <v>299</v>
      </c>
      <c r="J41" t="s">
        <v>300</v>
      </c>
      <c r="K41" s="3">
        <v>46157</v>
      </c>
      <c r="L41">
        <v>2004</v>
      </c>
      <c r="M41" t="s">
        <v>260</v>
      </c>
      <c r="N41" t="s">
        <v>72</v>
      </c>
      <c r="O41" t="s">
        <v>261</v>
      </c>
      <c r="P41" t="s">
        <v>262</v>
      </c>
      <c r="Q41">
        <v>6</v>
      </c>
      <c r="R41">
        <v>70</v>
      </c>
      <c r="S41">
        <v>0.41599999999999998</v>
      </c>
      <c r="T41">
        <v>30.792000000000002</v>
      </c>
      <c r="U41">
        <v>35.782200000000003</v>
      </c>
      <c r="V41">
        <v>3.87</v>
      </c>
      <c r="W41">
        <v>1.7000000000000001E-2</v>
      </c>
      <c r="X41">
        <v>0.08</v>
      </c>
      <c r="Y41" s="5">
        <v>3.85</v>
      </c>
      <c r="Z41" s="5">
        <v>277.69</v>
      </c>
      <c r="AA41" s="5">
        <v>269.5</v>
      </c>
      <c r="AZ41" t="str">
        <f t="shared" si="10"/>
        <v>EU</v>
      </c>
      <c r="BA41" t="str">
        <f t="shared" si="11"/>
        <v>TL.270 EU</v>
      </c>
      <c r="BB41" t="str">
        <f t="shared" si="12"/>
        <v>CY</v>
      </c>
      <c r="BC41" t="str">
        <f>IFERROR(VLOOKUP(BF41,[1]Sheet1!$A:$G,7,FALSE),"")</f>
        <v>ROTTERDAM</v>
      </c>
      <c r="BF41" t="str">
        <f t="shared" si="13"/>
        <v>EUCY2004</v>
      </c>
      <c r="BH41" s="9">
        <f t="shared" si="14"/>
        <v>640299</v>
      </c>
      <c r="BI41" s="10" t="str">
        <f t="shared" si="15"/>
        <v>64029990</v>
      </c>
    </row>
    <row r="42" spans="1:61">
      <c r="A42" t="s">
        <v>254</v>
      </c>
      <c r="B42" t="s">
        <v>255</v>
      </c>
      <c r="C42" t="s">
        <v>256</v>
      </c>
      <c r="D42" s="1">
        <v>46234</v>
      </c>
      <c r="E42" t="s">
        <v>301</v>
      </c>
      <c r="F42" t="s">
        <v>302</v>
      </c>
      <c r="G42" t="s">
        <v>259</v>
      </c>
      <c r="H42" t="s">
        <v>55</v>
      </c>
      <c r="I42" t="s">
        <v>303</v>
      </c>
      <c r="J42" t="s">
        <v>304</v>
      </c>
      <c r="K42" s="3">
        <v>46157</v>
      </c>
      <c r="L42">
        <v>2004</v>
      </c>
      <c r="M42" t="s">
        <v>260</v>
      </c>
      <c r="N42" t="s">
        <v>72</v>
      </c>
      <c r="O42" t="s">
        <v>261</v>
      </c>
      <c r="P42" t="s">
        <v>262</v>
      </c>
      <c r="Q42">
        <v>2</v>
      </c>
      <c r="R42">
        <v>15</v>
      </c>
      <c r="S42">
        <v>0.14299999999999999</v>
      </c>
      <c r="T42">
        <v>7.234</v>
      </c>
      <c r="U42">
        <v>8.8726000000000003</v>
      </c>
      <c r="V42">
        <v>3.87</v>
      </c>
      <c r="W42">
        <v>1.7000000000000001E-2</v>
      </c>
      <c r="X42">
        <v>0.08</v>
      </c>
      <c r="Y42" s="5">
        <v>3.85</v>
      </c>
      <c r="Z42" s="5">
        <v>59.505000000000003</v>
      </c>
      <c r="AA42" s="5">
        <v>57.75</v>
      </c>
      <c r="AZ42" t="str">
        <f t="shared" si="10"/>
        <v>EU</v>
      </c>
      <c r="BA42" t="str">
        <f t="shared" si="11"/>
        <v>TL.270 EU</v>
      </c>
      <c r="BB42" t="str">
        <f t="shared" si="12"/>
        <v>CY</v>
      </c>
      <c r="BC42" t="str">
        <f>IFERROR(VLOOKUP(BF42,[1]Sheet1!$A:$G,7,FALSE),"")</f>
        <v>ROTTERDAM</v>
      </c>
      <c r="BF42" t="str">
        <f t="shared" si="13"/>
        <v>EUCY2004</v>
      </c>
      <c r="BH42" s="9">
        <f t="shared" si="14"/>
        <v>640299</v>
      </c>
      <c r="BI42" s="10" t="str">
        <f t="shared" si="15"/>
        <v>64029990</v>
      </c>
    </row>
    <row r="43" spans="1:61">
      <c r="A43" t="s">
        <v>254</v>
      </c>
      <c r="B43" t="s">
        <v>255</v>
      </c>
      <c r="C43" t="s">
        <v>256</v>
      </c>
      <c r="D43" s="1">
        <v>46234</v>
      </c>
      <c r="E43" t="s">
        <v>305</v>
      </c>
      <c r="F43" t="s">
        <v>306</v>
      </c>
      <c r="G43" t="s">
        <v>259</v>
      </c>
      <c r="H43" t="s">
        <v>55</v>
      </c>
      <c r="I43" t="s">
        <v>307</v>
      </c>
      <c r="J43" t="s">
        <v>308</v>
      </c>
      <c r="K43" s="3">
        <v>46157</v>
      </c>
      <c r="L43">
        <v>2004</v>
      </c>
      <c r="M43" t="s">
        <v>260</v>
      </c>
      <c r="N43" t="s">
        <v>72</v>
      </c>
      <c r="O43" t="s">
        <v>261</v>
      </c>
      <c r="P43" t="s">
        <v>262</v>
      </c>
      <c r="Q43">
        <v>1</v>
      </c>
      <c r="R43">
        <v>12</v>
      </c>
      <c r="S43">
        <v>6.7000000000000004E-2</v>
      </c>
      <c r="T43">
        <v>4.7279999999999998</v>
      </c>
      <c r="U43">
        <v>5.5431999999999997</v>
      </c>
      <c r="V43">
        <v>3.87</v>
      </c>
      <c r="W43">
        <v>1.7000000000000001E-2</v>
      </c>
      <c r="X43">
        <v>0.08</v>
      </c>
      <c r="Y43" s="5">
        <v>3.85</v>
      </c>
      <c r="Z43" s="5">
        <v>47.603999999999999</v>
      </c>
      <c r="AA43" s="5">
        <v>46.2</v>
      </c>
      <c r="AZ43" t="str">
        <f t="shared" si="10"/>
        <v>EU</v>
      </c>
      <c r="BA43" t="str">
        <f t="shared" si="11"/>
        <v>TL.270 EU</v>
      </c>
      <c r="BB43" t="str">
        <f t="shared" si="12"/>
        <v>CY</v>
      </c>
      <c r="BC43" t="str">
        <f>IFERROR(VLOOKUP(BF43,[1]Sheet1!$A:$G,7,FALSE),"")</f>
        <v>ROTTERDAM</v>
      </c>
      <c r="BF43" t="str">
        <f t="shared" si="13"/>
        <v>EUCY2004</v>
      </c>
      <c r="BH43" s="9">
        <f t="shared" si="14"/>
        <v>640299</v>
      </c>
      <c r="BI43" s="10" t="str">
        <f t="shared" si="15"/>
        <v>64029990</v>
      </c>
    </row>
    <row r="44" spans="1:61">
      <c r="A44" t="s">
        <v>254</v>
      </c>
      <c r="B44" t="s">
        <v>255</v>
      </c>
      <c r="C44" t="s">
        <v>256</v>
      </c>
      <c r="D44" s="1">
        <v>46234</v>
      </c>
      <c r="E44" t="s">
        <v>309</v>
      </c>
      <c r="F44" t="s">
        <v>310</v>
      </c>
      <c r="G44" t="s">
        <v>259</v>
      </c>
      <c r="H44" t="s">
        <v>55</v>
      </c>
      <c r="I44" t="s">
        <v>311</v>
      </c>
      <c r="J44" t="s">
        <v>312</v>
      </c>
      <c r="K44" s="3">
        <v>46157</v>
      </c>
      <c r="L44">
        <v>2004</v>
      </c>
      <c r="M44" t="s">
        <v>260</v>
      </c>
      <c r="N44" t="s">
        <v>72</v>
      </c>
      <c r="O44" t="s">
        <v>261</v>
      </c>
      <c r="P44" t="s">
        <v>262</v>
      </c>
      <c r="Q44">
        <v>2</v>
      </c>
      <c r="R44">
        <v>37</v>
      </c>
      <c r="S44">
        <v>0.155</v>
      </c>
      <c r="T44">
        <v>9.2460000000000004</v>
      </c>
      <c r="U44">
        <v>11.0177</v>
      </c>
      <c r="V44">
        <v>2.13</v>
      </c>
      <c r="W44">
        <v>1.7000000000000001E-2</v>
      </c>
      <c r="X44">
        <v>0.08</v>
      </c>
      <c r="Y44" s="5">
        <v>2.16</v>
      </c>
      <c r="Z44" s="5">
        <v>82.399000000000001</v>
      </c>
      <c r="AA44" s="5">
        <v>79.92</v>
      </c>
      <c r="AZ44" t="str">
        <f t="shared" si="10"/>
        <v>EU</v>
      </c>
      <c r="BA44" t="str">
        <f t="shared" si="11"/>
        <v>TL.270 EU</v>
      </c>
      <c r="BB44" t="str">
        <f t="shared" si="12"/>
        <v>CY</v>
      </c>
      <c r="BC44" t="str">
        <f>IFERROR(VLOOKUP(BF44,[1]Sheet1!$A:$G,7,FALSE),"")</f>
        <v>ROTTERDAM</v>
      </c>
      <c r="BF44" t="str">
        <f t="shared" si="13"/>
        <v>EUCY2004</v>
      </c>
      <c r="BH44" s="9">
        <f t="shared" si="14"/>
        <v>640299</v>
      </c>
      <c r="BI44" s="10" t="str">
        <f t="shared" si="15"/>
        <v>64029990</v>
      </c>
    </row>
    <row r="45" spans="1:61">
      <c r="A45" t="s">
        <v>254</v>
      </c>
      <c r="B45" t="s">
        <v>255</v>
      </c>
      <c r="C45" t="s">
        <v>256</v>
      </c>
      <c r="D45" s="1">
        <v>46234</v>
      </c>
      <c r="E45" t="s">
        <v>313</v>
      </c>
      <c r="F45" t="s">
        <v>314</v>
      </c>
      <c r="G45" t="s">
        <v>259</v>
      </c>
      <c r="H45" t="s">
        <v>55</v>
      </c>
      <c r="I45" t="s">
        <v>315</v>
      </c>
      <c r="J45" t="s">
        <v>316</v>
      </c>
      <c r="K45" s="3">
        <v>46157</v>
      </c>
      <c r="L45">
        <v>2004</v>
      </c>
      <c r="M45" t="s">
        <v>260</v>
      </c>
      <c r="N45" t="s">
        <v>72</v>
      </c>
      <c r="O45" t="s">
        <v>261</v>
      </c>
      <c r="P45" t="s">
        <v>262</v>
      </c>
      <c r="Q45">
        <v>1</v>
      </c>
      <c r="R45">
        <v>24</v>
      </c>
      <c r="S45">
        <v>8.6999999999999994E-2</v>
      </c>
      <c r="T45">
        <v>4.6180000000000003</v>
      </c>
      <c r="U45">
        <v>5.5884</v>
      </c>
      <c r="V45">
        <v>2.57</v>
      </c>
      <c r="W45">
        <v>1.7000000000000001E-2</v>
      </c>
      <c r="X45">
        <v>0.08</v>
      </c>
      <c r="Y45" s="5">
        <v>2.59</v>
      </c>
      <c r="Z45" s="5">
        <v>64.007999999999996</v>
      </c>
      <c r="AA45" s="5">
        <v>62.16</v>
      </c>
      <c r="AZ45" t="str">
        <f t="shared" si="10"/>
        <v>EU</v>
      </c>
      <c r="BA45" t="str">
        <f t="shared" si="11"/>
        <v>TL.270 EU</v>
      </c>
      <c r="BB45" t="str">
        <f t="shared" si="12"/>
        <v>CY</v>
      </c>
      <c r="BC45" t="str">
        <f>IFERROR(VLOOKUP(BF45,[1]Sheet1!$A:$G,7,FALSE),"")</f>
        <v>ROTTERDAM</v>
      </c>
      <c r="BF45" t="str">
        <f t="shared" si="13"/>
        <v>EUCY2004</v>
      </c>
      <c r="BH45" s="9">
        <f t="shared" si="14"/>
        <v>640299</v>
      </c>
      <c r="BI45" s="10" t="str">
        <f t="shared" si="15"/>
        <v>64029990</v>
      </c>
    </row>
    <row r="46" spans="1:61">
      <c r="K46" s="3"/>
      <c r="Y46" s="5"/>
      <c r="Z46" s="5"/>
      <c r="AA46" s="5"/>
      <c r="AZ46" t="str">
        <f t="shared" si="10"/>
        <v/>
      </c>
      <c r="BA46" t="str">
        <f t="shared" si="11"/>
        <v/>
      </c>
      <c r="BB46" t="str">
        <f t="shared" si="12"/>
        <v/>
      </c>
      <c r="BC46" t="str">
        <f>IFERROR(VLOOKUP(BF46,[1]Sheet1!$A:$G,7,FALSE),"")</f>
        <v/>
      </c>
      <c r="BF46" t="str">
        <f t="shared" si="13"/>
        <v/>
      </c>
      <c r="BH46" s="9" t="str">
        <f t="shared" si="14"/>
        <v/>
      </c>
      <c r="BI46" s="10" t="str">
        <f t="shared" si="15"/>
        <v/>
      </c>
    </row>
    <row r="47" spans="1:61">
      <c r="A47" t="s">
        <v>317</v>
      </c>
      <c r="B47" t="s">
        <v>318</v>
      </c>
      <c r="C47" t="s">
        <v>319</v>
      </c>
      <c r="D47" s="1">
        <v>46234</v>
      </c>
      <c r="E47" s="2" t="s">
        <v>320</v>
      </c>
      <c r="F47" t="s">
        <v>321</v>
      </c>
      <c r="G47" t="s">
        <v>63</v>
      </c>
      <c r="H47" s="3" t="s">
        <v>322</v>
      </c>
      <c r="I47" t="s">
        <v>59</v>
      </c>
      <c r="J47" t="s">
        <v>60</v>
      </c>
      <c r="K47" s="3">
        <v>46150</v>
      </c>
      <c r="L47">
        <v>1005</v>
      </c>
      <c r="M47" t="s">
        <v>222</v>
      </c>
      <c r="N47" t="s">
        <v>323</v>
      </c>
      <c r="O47" t="s">
        <v>324</v>
      </c>
      <c r="P47" t="s">
        <v>224</v>
      </c>
      <c r="Q47">
        <v>380</v>
      </c>
      <c r="R47">
        <v>4560</v>
      </c>
      <c r="S47">
        <v>33.167999999999999</v>
      </c>
      <c r="T47">
        <v>2184.3240000000001</v>
      </c>
      <c r="U47">
        <v>2593.2309</v>
      </c>
      <c r="V47">
        <v>5.72</v>
      </c>
      <c r="W47">
        <v>0</v>
      </c>
      <c r="X47">
        <v>0</v>
      </c>
      <c r="Y47" s="5">
        <v>5.55</v>
      </c>
      <c r="Z47" s="5">
        <v>26083.200000000001</v>
      </c>
      <c r="AA47" s="5">
        <v>25308</v>
      </c>
      <c r="AZ47" t="str">
        <f t="shared" si="10"/>
        <v>US</v>
      </c>
      <c r="BA47" t="str">
        <f t="shared" si="11"/>
        <v>TL.323 US</v>
      </c>
      <c r="BB47" t="str">
        <f t="shared" si="12"/>
        <v>CY</v>
      </c>
      <c r="BC47" t="str">
        <f>IFERROR(VLOOKUP(BF47,[1]Sheet1!$A:$G,7,FALSE),"")</f>
        <v>LOS ANGELES</v>
      </c>
      <c r="BF47" t="str">
        <f t="shared" si="13"/>
        <v>USCY1005</v>
      </c>
      <c r="BH47" s="9">
        <f t="shared" si="14"/>
        <v>640299</v>
      </c>
      <c r="BI47" s="10" t="str">
        <f t="shared" si="15"/>
        <v>64029990</v>
      </c>
    </row>
    <row r="48" spans="1:61">
      <c r="A48" t="s">
        <v>317</v>
      </c>
      <c r="B48" t="s">
        <v>318</v>
      </c>
      <c r="C48" t="s">
        <v>319</v>
      </c>
      <c r="D48" s="1">
        <v>46234</v>
      </c>
      <c r="E48" s="2" t="s">
        <v>325</v>
      </c>
      <c r="F48" t="s">
        <v>326</v>
      </c>
      <c r="G48" t="s">
        <v>63</v>
      </c>
      <c r="H48" s="3" t="s">
        <v>322</v>
      </c>
      <c r="I48" t="s">
        <v>59</v>
      </c>
      <c r="J48" t="s">
        <v>60</v>
      </c>
      <c r="K48" s="3">
        <v>46150</v>
      </c>
      <c r="L48">
        <v>1005</v>
      </c>
      <c r="M48" t="s">
        <v>222</v>
      </c>
      <c r="N48" t="s">
        <v>323</v>
      </c>
      <c r="O48" t="s">
        <v>324</v>
      </c>
      <c r="P48" t="s">
        <v>224</v>
      </c>
      <c r="Q48">
        <v>391</v>
      </c>
      <c r="R48">
        <v>4692</v>
      </c>
      <c r="S48">
        <v>31.827999999999999</v>
      </c>
      <c r="T48">
        <v>2111.5320000000002</v>
      </c>
      <c r="U48">
        <v>2514.5814</v>
      </c>
      <c r="V48">
        <v>5.72</v>
      </c>
      <c r="W48">
        <v>0</v>
      </c>
      <c r="X48">
        <v>0</v>
      </c>
      <c r="Y48" s="5">
        <v>5.55</v>
      </c>
      <c r="Z48" s="5">
        <v>26838.240000000002</v>
      </c>
      <c r="AA48" s="5">
        <v>26040.6</v>
      </c>
      <c r="AZ48" t="str">
        <f t="shared" si="10"/>
        <v>US</v>
      </c>
      <c r="BA48" t="str">
        <f t="shared" si="11"/>
        <v>TL.323 US</v>
      </c>
      <c r="BB48" t="str">
        <f t="shared" si="12"/>
        <v>CY</v>
      </c>
      <c r="BC48" t="str">
        <f>IFERROR(VLOOKUP(BF48,[1]Sheet1!$A:$G,7,FALSE),"")</f>
        <v>LOS ANGELES</v>
      </c>
      <c r="BF48" t="str">
        <f t="shared" si="13"/>
        <v>USCY1005</v>
      </c>
      <c r="BH48" s="9">
        <f t="shared" si="14"/>
        <v>640299</v>
      </c>
      <c r="BI48" s="10" t="str">
        <f t="shared" si="15"/>
        <v>64029990</v>
      </c>
    </row>
    <row r="49" spans="1:61">
      <c r="A49" t="s">
        <v>317</v>
      </c>
      <c r="B49" t="s">
        <v>318</v>
      </c>
      <c r="C49" t="s">
        <v>319</v>
      </c>
      <c r="D49" s="1">
        <v>46234</v>
      </c>
      <c r="E49" s="2" t="s">
        <v>327</v>
      </c>
      <c r="F49" t="s">
        <v>328</v>
      </c>
      <c r="G49" t="s">
        <v>63</v>
      </c>
      <c r="H49" s="3" t="s">
        <v>55</v>
      </c>
      <c r="I49" t="s">
        <v>329</v>
      </c>
      <c r="J49" t="s">
        <v>330</v>
      </c>
      <c r="K49" s="3">
        <v>46167</v>
      </c>
      <c r="L49">
        <v>1005</v>
      </c>
      <c r="M49" t="s">
        <v>222</v>
      </c>
      <c r="N49" t="s">
        <v>323</v>
      </c>
      <c r="O49" t="s">
        <v>324</v>
      </c>
      <c r="P49" t="s">
        <v>224</v>
      </c>
      <c r="Q49">
        <v>12</v>
      </c>
      <c r="R49">
        <v>288</v>
      </c>
      <c r="S49">
        <v>1.046</v>
      </c>
      <c r="T49">
        <v>63.36</v>
      </c>
      <c r="U49">
        <v>75.004000000000005</v>
      </c>
      <c r="V49">
        <v>3.84</v>
      </c>
      <c r="W49">
        <v>0</v>
      </c>
      <c r="X49">
        <v>0</v>
      </c>
      <c r="Y49" s="5">
        <v>3.73</v>
      </c>
      <c r="Z49" s="5">
        <v>1105.92</v>
      </c>
      <c r="AA49" s="5">
        <v>1074.24</v>
      </c>
      <c r="AZ49" t="str">
        <f t="shared" si="10"/>
        <v>US</v>
      </c>
      <c r="BA49" t="str">
        <f t="shared" si="11"/>
        <v>TL.323 US</v>
      </c>
      <c r="BB49" t="str">
        <f t="shared" si="12"/>
        <v>CY</v>
      </c>
      <c r="BC49" t="str">
        <f>IFERROR(VLOOKUP(BF49,[1]Sheet1!$A:$G,7,FALSE),"")</f>
        <v>LOS ANGELES</v>
      </c>
      <c r="BF49" t="str">
        <f t="shared" si="13"/>
        <v>USCY1005</v>
      </c>
      <c r="BH49" s="9">
        <f t="shared" si="14"/>
        <v>640299</v>
      </c>
      <c r="BI49" s="10" t="str">
        <f t="shared" si="15"/>
        <v>64029990</v>
      </c>
    </row>
    <row r="50" spans="1:61">
      <c r="K50" s="3"/>
      <c r="Y50" s="5"/>
      <c r="Z50" s="5"/>
      <c r="AA50" s="5"/>
      <c r="AZ50" t="str">
        <f t="shared" ref="AZ50:AZ75" si="16">IF(LEN(A50)=9,MID(A50,FIND("-",A50)+1,FIND("-",A50,FIND("-",A50)+1)-FIND("-",A50)-1),IF(LEN(A50)=10,MID(A50,FIND("-",A50)+1,FIND("-",A50,FIND("-",A50)+1)-FIND("-",A50)-1),IF(LEN(A50)=12,MID(A50,FIND("-",A50,FIND("-",A50)+1)+1,FIND("-",A50,FIND("-",A50,FIND("-",A50)+1)+1)-FIND("-",A50,FIND("-",A50)+1)-1),IF(LEN(A50)=13,MID(A50,FIND("-",A50,FIND("-",A50)+1)+1,FIND("-",A50,FIND("-",A50,FIND("-",A50)+1)+1)-FIND("-",A50,FIND("-",A50)+1)-1),IF(LEN(A50)=14,MID(A50,FIND("-",A50,FIND("-",A50)+1)+1,FIND("-",A50,FIND("-",A50,FIND("-",A50)+1)+1)-FIND("-",A50,FIND("-",A50)+1)-1),"")))))</f>
        <v/>
      </c>
      <c r="BA50" t="str">
        <f t="shared" ref="BA50:BA75" si="17">IFERROR("TL."&amp;RIGHT(A50,3)&amp;" "&amp;TRIM(MID(SUBSTITUTE(A50,"-",REPT(" ",100)),LEN(SUBSTITUTE(A50,"-",REPT(" ",100)))-200,100)),"")</f>
        <v/>
      </c>
      <c r="BB50" t="str">
        <f t="shared" ref="BB50:BB75" si="18">IFERROR(LEFT(A50,FIND("-",A50)-1),"")</f>
        <v/>
      </c>
      <c r="BC50" t="str">
        <f>IFERROR(VLOOKUP(BF50,[1]Sheet1!$A:$G,7,FALSE),"")</f>
        <v/>
      </c>
      <c r="BF50" t="str">
        <f t="shared" ref="BF50:BF75" si="19">AZ50&amp;BB50&amp;L50</f>
        <v/>
      </c>
      <c r="BH50" s="9" t="str">
        <f t="shared" ref="BH50:BH75" si="20">IFERROR(IF(LEFT(I50,FIND("-",I50)-1)="211354",640419,640299),"")</f>
        <v/>
      </c>
      <c r="BI50" s="10" t="str">
        <f t="shared" ref="BI50:BI75" si="21">IF(BH50&lt;&gt;"",BH50&amp;90,"")</f>
        <v/>
      </c>
    </row>
    <row r="51" spans="1:61">
      <c r="A51" t="s">
        <v>331</v>
      </c>
      <c r="B51" t="s">
        <v>332</v>
      </c>
      <c r="C51" t="s">
        <v>333</v>
      </c>
      <c r="D51" s="1">
        <v>46234</v>
      </c>
      <c r="E51" s="2" t="s">
        <v>334</v>
      </c>
      <c r="F51" t="s">
        <v>335</v>
      </c>
      <c r="G51" t="s">
        <v>63</v>
      </c>
      <c r="H51" s="3" t="s">
        <v>322</v>
      </c>
      <c r="I51" t="s">
        <v>336</v>
      </c>
      <c r="J51" t="s">
        <v>337</v>
      </c>
      <c r="K51" s="3">
        <v>46150</v>
      </c>
      <c r="L51">
        <v>1005</v>
      </c>
      <c r="M51" t="s">
        <v>222</v>
      </c>
      <c r="N51" t="s">
        <v>323</v>
      </c>
      <c r="O51" t="s">
        <v>324</v>
      </c>
      <c r="P51" t="s">
        <v>224</v>
      </c>
      <c r="Q51">
        <v>309</v>
      </c>
      <c r="R51">
        <v>3708</v>
      </c>
      <c r="S51">
        <v>25.513000000000002</v>
      </c>
      <c r="T51">
        <v>1694.7239999999999</v>
      </c>
      <c r="U51">
        <v>2015.6179</v>
      </c>
      <c r="V51">
        <v>5.72</v>
      </c>
      <c r="W51">
        <v>0</v>
      </c>
      <c r="X51">
        <v>0</v>
      </c>
      <c r="Y51" s="5">
        <v>5.55</v>
      </c>
      <c r="Z51" s="5">
        <v>21209.759999999998</v>
      </c>
      <c r="AA51" s="5">
        <v>20579.400000000001</v>
      </c>
      <c r="AZ51" t="str">
        <f t="shared" si="16"/>
        <v>US</v>
      </c>
      <c r="BA51" t="str">
        <f t="shared" si="17"/>
        <v>TL.324 US</v>
      </c>
      <c r="BB51" t="str">
        <f t="shared" si="18"/>
        <v>CY</v>
      </c>
      <c r="BC51" t="str">
        <f>IFERROR(VLOOKUP(BF51,[1]Sheet1!$A:$G,7,FALSE),"")</f>
        <v>LOS ANGELES</v>
      </c>
      <c r="BF51" t="str">
        <f t="shared" si="19"/>
        <v>USCY1005</v>
      </c>
      <c r="BH51" s="9">
        <f t="shared" si="20"/>
        <v>640299</v>
      </c>
      <c r="BI51" s="10" t="str">
        <f t="shared" si="21"/>
        <v>64029990</v>
      </c>
    </row>
    <row r="52" spans="1:61">
      <c r="A52" t="s">
        <v>331</v>
      </c>
      <c r="B52" t="s">
        <v>332</v>
      </c>
      <c r="C52" t="s">
        <v>333</v>
      </c>
      <c r="D52" s="1">
        <v>46234</v>
      </c>
      <c r="E52" s="2" t="s">
        <v>338</v>
      </c>
      <c r="F52" t="s">
        <v>339</v>
      </c>
      <c r="G52" t="s">
        <v>63</v>
      </c>
      <c r="H52" s="3" t="s">
        <v>322</v>
      </c>
      <c r="I52" t="s">
        <v>59</v>
      </c>
      <c r="J52" t="s">
        <v>60</v>
      </c>
      <c r="K52" s="3">
        <v>46150</v>
      </c>
      <c r="L52">
        <v>1005</v>
      </c>
      <c r="M52" t="s">
        <v>222</v>
      </c>
      <c r="N52" t="s">
        <v>323</v>
      </c>
      <c r="O52" t="s">
        <v>324</v>
      </c>
      <c r="P52" t="s">
        <v>224</v>
      </c>
      <c r="Q52">
        <v>460</v>
      </c>
      <c r="R52">
        <v>5520</v>
      </c>
      <c r="S52">
        <v>37.423999999999999</v>
      </c>
      <c r="T52">
        <v>2489.0880000000002</v>
      </c>
      <c r="U52">
        <v>2962.3236000000002</v>
      </c>
      <c r="V52">
        <v>5.72</v>
      </c>
      <c r="W52">
        <v>0</v>
      </c>
      <c r="X52">
        <v>0</v>
      </c>
      <c r="Y52" s="5">
        <v>5.55</v>
      </c>
      <c r="Z52" s="5">
        <v>31574.400000000001</v>
      </c>
      <c r="AA52" s="5">
        <v>30636</v>
      </c>
      <c r="AZ52" t="str">
        <f t="shared" si="16"/>
        <v>US</v>
      </c>
      <c r="BA52" t="str">
        <f t="shared" si="17"/>
        <v>TL.324 US</v>
      </c>
      <c r="BB52" t="str">
        <f t="shared" si="18"/>
        <v>CY</v>
      </c>
      <c r="BC52" t="str">
        <f>IFERROR(VLOOKUP(BF52,[1]Sheet1!$A:$G,7,FALSE),"")</f>
        <v>LOS ANGELES</v>
      </c>
      <c r="BF52" t="str">
        <f t="shared" si="19"/>
        <v>USCY1005</v>
      </c>
      <c r="BH52" s="9">
        <f t="shared" si="20"/>
        <v>640299</v>
      </c>
      <c r="BI52" s="10" t="str">
        <f t="shared" si="21"/>
        <v>64029990</v>
      </c>
    </row>
    <row r="53" spans="1:61">
      <c r="A53" t="s">
        <v>331</v>
      </c>
      <c r="B53" t="s">
        <v>332</v>
      </c>
      <c r="C53" t="s">
        <v>333</v>
      </c>
      <c r="D53" s="1">
        <v>46234</v>
      </c>
      <c r="E53" s="2" t="s">
        <v>327</v>
      </c>
      <c r="F53" t="s">
        <v>328</v>
      </c>
      <c r="G53" t="s">
        <v>63</v>
      </c>
      <c r="H53" s="3" t="s">
        <v>55</v>
      </c>
      <c r="I53" t="s">
        <v>329</v>
      </c>
      <c r="J53" t="s">
        <v>330</v>
      </c>
      <c r="K53" s="3">
        <v>46167</v>
      </c>
      <c r="L53">
        <v>1005</v>
      </c>
      <c r="M53" t="s">
        <v>222</v>
      </c>
      <c r="N53" t="s">
        <v>323</v>
      </c>
      <c r="O53" t="s">
        <v>324</v>
      </c>
      <c r="P53" t="s">
        <v>224</v>
      </c>
      <c r="Q53">
        <v>27</v>
      </c>
      <c r="R53">
        <v>648</v>
      </c>
      <c r="S53">
        <v>3.0794000000000001</v>
      </c>
      <c r="T53">
        <v>169.70400000000001</v>
      </c>
      <c r="U53">
        <v>200.12100000000001</v>
      </c>
      <c r="V53">
        <v>3.84</v>
      </c>
      <c r="W53">
        <v>0</v>
      </c>
      <c r="X53">
        <v>0</v>
      </c>
      <c r="Y53" s="5">
        <v>3.73</v>
      </c>
      <c r="Z53" s="5">
        <v>2488.3200000000002</v>
      </c>
      <c r="AA53" s="5">
        <v>2417.04</v>
      </c>
      <c r="AZ53" t="str">
        <f t="shared" si="16"/>
        <v>US</v>
      </c>
      <c r="BA53" t="str">
        <f t="shared" si="17"/>
        <v>TL.324 US</v>
      </c>
      <c r="BB53" t="str">
        <f t="shared" si="18"/>
        <v>CY</v>
      </c>
      <c r="BC53" t="str">
        <f>IFERROR(VLOOKUP(BF53,[1]Sheet1!$A:$G,7,FALSE),"")</f>
        <v>LOS ANGELES</v>
      </c>
      <c r="BF53" t="str">
        <f t="shared" si="19"/>
        <v>USCY1005</v>
      </c>
      <c r="BH53" s="9">
        <f t="shared" si="20"/>
        <v>640299</v>
      </c>
      <c r="BI53" s="10" t="str">
        <f t="shared" si="21"/>
        <v>64029990</v>
      </c>
    </row>
    <row r="54" spans="1:61">
      <c r="K54" s="3"/>
      <c r="Y54" s="5"/>
      <c r="Z54" s="5"/>
      <c r="AA54" s="5"/>
      <c r="AZ54" t="str">
        <f t="shared" si="16"/>
        <v/>
      </c>
      <c r="BA54" t="str">
        <f t="shared" si="17"/>
        <v/>
      </c>
      <c r="BB54" t="str">
        <f t="shared" si="18"/>
        <v/>
      </c>
      <c r="BC54" t="str">
        <f>IFERROR(VLOOKUP(BF54,[1]Sheet1!$A:$G,7,FALSE),"")</f>
        <v/>
      </c>
      <c r="BF54" t="str">
        <f t="shared" si="19"/>
        <v/>
      </c>
      <c r="BH54" s="9" t="str">
        <f t="shared" si="20"/>
        <v/>
      </c>
      <c r="BI54" s="10" t="str">
        <f t="shared" si="21"/>
        <v/>
      </c>
    </row>
    <row r="55" spans="1:61">
      <c r="A55" t="s">
        <v>340</v>
      </c>
      <c r="B55" t="s">
        <v>341</v>
      </c>
      <c r="C55" t="s">
        <v>342</v>
      </c>
      <c r="D55" s="1">
        <v>46234</v>
      </c>
      <c r="E55" s="2" t="s">
        <v>343</v>
      </c>
      <c r="F55" t="s">
        <v>344</v>
      </c>
      <c r="G55" t="s">
        <v>63</v>
      </c>
      <c r="H55" s="3" t="s">
        <v>322</v>
      </c>
      <c r="I55" t="s">
        <v>345</v>
      </c>
      <c r="J55" t="s">
        <v>346</v>
      </c>
      <c r="K55" s="3">
        <v>46150</v>
      </c>
      <c r="L55">
        <v>1005</v>
      </c>
      <c r="M55" t="s">
        <v>222</v>
      </c>
      <c r="N55" t="s">
        <v>323</v>
      </c>
      <c r="O55" t="s">
        <v>324</v>
      </c>
      <c r="P55" t="s">
        <v>224</v>
      </c>
      <c r="Q55">
        <v>307</v>
      </c>
      <c r="R55">
        <v>3684</v>
      </c>
      <c r="S55">
        <v>25.986999999999998</v>
      </c>
      <c r="T55">
        <v>1727.604</v>
      </c>
      <c r="U55">
        <v>2050.9976000000001</v>
      </c>
      <c r="V55">
        <v>5.72</v>
      </c>
      <c r="W55">
        <v>0</v>
      </c>
      <c r="X55">
        <v>0</v>
      </c>
      <c r="Y55" s="5">
        <v>5.55</v>
      </c>
      <c r="Z55" s="5">
        <v>21072.48</v>
      </c>
      <c r="AA55" s="5">
        <v>20446.2</v>
      </c>
      <c r="AZ55" t="str">
        <f t="shared" si="16"/>
        <v>US</v>
      </c>
      <c r="BA55" t="str">
        <f t="shared" si="17"/>
        <v>TL.325 US</v>
      </c>
      <c r="BB55" t="str">
        <f t="shared" si="18"/>
        <v>CY</v>
      </c>
      <c r="BC55" t="str">
        <f>IFERROR(VLOOKUP(BF55,[1]Sheet1!$A:$G,7,FALSE),"")</f>
        <v>LOS ANGELES</v>
      </c>
      <c r="BF55" t="str">
        <f t="shared" si="19"/>
        <v>USCY1005</v>
      </c>
      <c r="BH55" s="9">
        <f t="shared" si="20"/>
        <v>640299</v>
      </c>
      <c r="BI55" s="10" t="str">
        <f t="shared" si="21"/>
        <v>64029990</v>
      </c>
    </row>
    <row r="56" spans="1:61">
      <c r="A56" t="s">
        <v>340</v>
      </c>
      <c r="B56" t="s">
        <v>341</v>
      </c>
      <c r="C56" t="s">
        <v>342</v>
      </c>
      <c r="D56" s="1">
        <v>46234</v>
      </c>
      <c r="E56" s="2" t="s">
        <v>347</v>
      </c>
      <c r="F56" t="s">
        <v>348</v>
      </c>
      <c r="G56" t="s">
        <v>63</v>
      </c>
      <c r="H56" s="3" t="s">
        <v>55</v>
      </c>
      <c r="I56" t="s">
        <v>349</v>
      </c>
      <c r="J56" t="s">
        <v>350</v>
      </c>
      <c r="K56" s="3">
        <v>46151</v>
      </c>
      <c r="L56">
        <v>1005</v>
      </c>
      <c r="M56" t="s">
        <v>222</v>
      </c>
      <c r="N56" t="s">
        <v>323</v>
      </c>
      <c r="O56" t="s">
        <v>324</v>
      </c>
      <c r="P56" t="s">
        <v>224</v>
      </c>
      <c r="Q56">
        <v>7</v>
      </c>
      <c r="R56">
        <v>168</v>
      </c>
      <c r="S56">
        <v>0.60699999999999998</v>
      </c>
      <c r="T56">
        <v>34.512</v>
      </c>
      <c r="U56">
        <v>41.241100000000003</v>
      </c>
      <c r="V56">
        <v>3.63</v>
      </c>
      <c r="W56">
        <v>0</v>
      </c>
      <c r="X56">
        <v>0</v>
      </c>
      <c r="Y56" s="5">
        <v>3.52</v>
      </c>
      <c r="Z56" s="5">
        <v>609.84</v>
      </c>
      <c r="AA56" s="5">
        <v>591.36</v>
      </c>
      <c r="AZ56" t="str">
        <f t="shared" si="16"/>
        <v>US</v>
      </c>
      <c r="BA56" t="str">
        <f t="shared" si="17"/>
        <v>TL.325 US</v>
      </c>
      <c r="BB56" t="str">
        <f t="shared" si="18"/>
        <v>CY</v>
      </c>
      <c r="BC56" t="str">
        <f>IFERROR(VLOOKUP(BF56,[1]Sheet1!$A:$G,7,FALSE),"")</f>
        <v>LOS ANGELES</v>
      </c>
      <c r="BF56" t="str">
        <f t="shared" si="19"/>
        <v>USCY1005</v>
      </c>
      <c r="BH56" s="9">
        <f t="shared" si="20"/>
        <v>640299</v>
      </c>
      <c r="BI56" s="10" t="str">
        <f t="shared" si="21"/>
        <v>64029990</v>
      </c>
    </row>
    <row r="57" spans="1:61">
      <c r="A57" t="s">
        <v>340</v>
      </c>
      <c r="B57" t="s">
        <v>341</v>
      </c>
      <c r="C57" t="s">
        <v>342</v>
      </c>
      <c r="D57" s="1">
        <v>46234</v>
      </c>
      <c r="E57" s="2" t="s">
        <v>351</v>
      </c>
      <c r="F57" t="s">
        <v>352</v>
      </c>
      <c r="G57" t="s">
        <v>54</v>
      </c>
      <c r="H57" s="3" t="s">
        <v>55</v>
      </c>
      <c r="I57" t="s">
        <v>353</v>
      </c>
      <c r="J57" t="s">
        <v>354</v>
      </c>
      <c r="K57" s="3">
        <v>46153</v>
      </c>
      <c r="L57">
        <v>1005</v>
      </c>
      <c r="M57" t="s">
        <v>222</v>
      </c>
      <c r="N57" t="s">
        <v>323</v>
      </c>
      <c r="O57" t="s">
        <v>355</v>
      </c>
      <c r="P57" t="s">
        <v>356</v>
      </c>
      <c r="Q57">
        <v>96</v>
      </c>
      <c r="R57">
        <v>1152</v>
      </c>
      <c r="S57">
        <v>13.986000000000001</v>
      </c>
      <c r="T57">
        <v>617.41200000000003</v>
      </c>
      <c r="U57">
        <v>754.65319999999997</v>
      </c>
      <c r="V57">
        <v>5.72</v>
      </c>
      <c r="W57">
        <v>0.41930000000000001</v>
      </c>
      <c r="X57">
        <v>0.08</v>
      </c>
      <c r="Y57" s="5">
        <v>6.04</v>
      </c>
      <c r="Z57" s="5">
        <v>7164.6336000000001</v>
      </c>
      <c r="AA57" s="5">
        <v>6958.08</v>
      </c>
      <c r="AZ57" t="str">
        <f t="shared" si="16"/>
        <v>US</v>
      </c>
      <c r="BA57" t="str">
        <f t="shared" si="17"/>
        <v>TL.325 US</v>
      </c>
      <c r="BB57" t="str">
        <f t="shared" si="18"/>
        <v>CY</v>
      </c>
      <c r="BC57" t="str">
        <f>IFERROR(VLOOKUP(BF57,[1]Sheet1!$A:$G,7,FALSE),"")</f>
        <v>LOS ANGELES</v>
      </c>
      <c r="BF57" t="str">
        <f t="shared" si="19"/>
        <v>USCY1005</v>
      </c>
      <c r="BH57" s="9">
        <f t="shared" si="20"/>
        <v>640299</v>
      </c>
      <c r="BI57" s="10" t="str">
        <f t="shared" si="21"/>
        <v>64029990</v>
      </c>
    </row>
    <row r="58" spans="1:61">
      <c r="A58" t="s">
        <v>340</v>
      </c>
      <c r="B58" t="s">
        <v>341</v>
      </c>
      <c r="C58" t="s">
        <v>342</v>
      </c>
      <c r="D58" s="1">
        <v>46234</v>
      </c>
      <c r="E58" s="2" t="s">
        <v>357</v>
      </c>
      <c r="F58" t="s">
        <v>358</v>
      </c>
      <c r="G58" t="s">
        <v>54</v>
      </c>
      <c r="H58" s="3" t="s">
        <v>55</v>
      </c>
      <c r="I58" t="s">
        <v>353</v>
      </c>
      <c r="J58" t="s">
        <v>354</v>
      </c>
      <c r="K58" s="3">
        <v>46153</v>
      </c>
      <c r="L58">
        <v>1005</v>
      </c>
      <c r="M58" t="s">
        <v>222</v>
      </c>
      <c r="N58" t="s">
        <v>323</v>
      </c>
      <c r="O58" t="s">
        <v>355</v>
      </c>
      <c r="P58" t="s">
        <v>359</v>
      </c>
      <c r="Q58">
        <v>204</v>
      </c>
      <c r="R58">
        <v>2448</v>
      </c>
      <c r="S58">
        <v>24.256</v>
      </c>
      <c r="T58">
        <v>1052.6400000000001</v>
      </c>
      <c r="U58">
        <v>1307.0688</v>
      </c>
      <c r="V58">
        <v>5.72</v>
      </c>
      <c r="W58">
        <v>0.41930000000000001</v>
      </c>
      <c r="X58">
        <v>0.08</v>
      </c>
      <c r="Y58" s="5">
        <v>6.04</v>
      </c>
      <c r="Z58" s="5">
        <v>15224.8464</v>
      </c>
      <c r="AA58" s="5">
        <v>14785.92</v>
      </c>
      <c r="AZ58" t="str">
        <f t="shared" si="16"/>
        <v>US</v>
      </c>
      <c r="BA58" t="str">
        <f t="shared" si="17"/>
        <v>TL.325 US</v>
      </c>
      <c r="BB58" t="str">
        <f t="shared" si="18"/>
        <v>CY</v>
      </c>
      <c r="BC58" t="str">
        <f>IFERROR(VLOOKUP(BF58,[1]Sheet1!$A:$G,7,FALSE),"")</f>
        <v>LOS ANGELES</v>
      </c>
      <c r="BF58" t="str">
        <f t="shared" si="19"/>
        <v>USCY1005</v>
      </c>
      <c r="BH58" s="9">
        <f t="shared" si="20"/>
        <v>640299</v>
      </c>
      <c r="BI58" s="10" t="str">
        <f t="shared" si="21"/>
        <v>64029990</v>
      </c>
    </row>
    <row r="59" spans="1:61">
      <c r="A59" t="s">
        <v>340</v>
      </c>
      <c r="B59" t="s">
        <v>341</v>
      </c>
      <c r="C59" t="s">
        <v>342</v>
      </c>
      <c r="D59" s="1">
        <v>46234</v>
      </c>
      <c r="E59" s="2" t="s">
        <v>327</v>
      </c>
      <c r="F59" t="s">
        <v>328</v>
      </c>
      <c r="G59" t="s">
        <v>63</v>
      </c>
      <c r="H59" s="3" t="s">
        <v>55</v>
      </c>
      <c r="I59" t="s">
        <v>329</v>
      </c>
      <c r="J59" t="s">
        <v>330</v>
      </c>
      <c r="K59" s="3">
        <v>46167</v>
      </c>
      <c r="L59">
        <v>1005</v>
      </c>
      <c r="M59" t="s">
        <v>222</v>
      </c>
      <c r="N59" t="s">
        <v>323</v>
      </c>
      <c r="O59" t="s">
        <v>324</v>
      </c>
      <c r="P59" t="s">
        <v>224</v>
      </c>
      <c r="Q59">
        <v>14</v>
      </c>
      <c r="R59">
        <v>336</v>
      </c>
      <c r="S59">
        <v>1.1639999999999999</v>
      </c>
      <c r="T59">
        <v>64.751999999999995</v>
      </c>
      <c r="U59">
        <v>77.606999999999999</v>
      </c>
      <c r="V59">
        <v>3.84</v>
      </c>
      <c r="W59">
        <v>0</v>
      </c>
      <c r="X59">
        <v>0</v>
      </c>
      <c r="Y59" s="5">
        <v>3.73</v>
      </c>
      <c r="Z59" s="5">
        <v>1290.24</v>
      </c>
      <c r="AA59" s="5">
        <v>1253.28</v>
      </c>
      <c r="AZ59" t="str">
        <f t="shared" si="16"/>
        <v>US</v>
      </c>
      <c r="BA59" t="str">
        <f t="shared" si="17"/>
        <v>TL.325 US</v>
      </c>
      <c r="BB59" t="str">
        <f t="shared" si="18"/>
        <v>CY</v>
      </c>
      <c r="BC59" t="str">
        <f>IFERROR(VLOOKUP(BF59,[1]Sheet1!$A:$G,7,FALSE),"")</f>
        <v>LOS ANGELES</v>
      </c>
      <c r="BF59" t="str">
        <f t="shared" si="19"/>
        <v>USCY1005</v>
      </c>
      <c r="BH59" s="9">
        <f t="shared" si="20"/>
        <v>640299</v>
      </c>
      <c r="BI59" s="10" t="str">
        <f t="shared" si="21"/>
        <v>64029990</v>
      </c>
    </row>
    <row r="60" spans="1:61">
      <c r="D60" s="1"/>
      <c r="K60" s="3"/>
      <c r="Y60" s="5"/>
      <c r="Z60" s="5"/>
      <c r="AA60" s="5"/>
      <c r="AZ60" t="str">
        <f t="shared" si="16"/>
        <v/>
      </c>
      <c r="BA60" t="str">
        <f t="shared" si="17"/>
        <v/>
      </c>
      <c r="BB60" t="str">
        <f t="shared" si="18"/>
        <v/>
      </c>
      <c r="BC60" t="str">
        <f>IFERROR(VLOOKUP(BF60,[1]Sheet1!$A:$G,7,FALSE),"")</f>
        <v/>
      </c>
      <c r="BF60" t="str">
        <f t="shared" si="19"/>
        <v/>
      </c>
      <c r="BH60" s="9" t="str">
        <f t="shared" si="20"/>
        <v/>
      </c>
      <c r="BI60" s="10" t="str">
        <f t="shared" si="21"/>
        <v/>
      </c>
    </row>
    <row r="61" spans="1:61">
      <c r="A61" t="s">
        <v>360</v>
      </c>
      <c r="B61" t="s">
        <v>361</v>
      </c>
      <c r="C61" t="s">
        <v>362</v>
      </c>
      <c r="D61" s="1">
        <v>46234</v>
      </c>
      <c r="E61" t="s">
        <v>363</v>
      </c>
      <c r="F61" t="s">
        <v>364</v>
      </c>
      <c r="G61" t="s">
        <v>63</v>
      </c>
      <c r="H61" s="3" t="s">
        <v>55</v>
      </c>
      <c r="I61" t="s">
        <v>299</v>
      </c>
      <c r="J61" t="s">
        <v>300</v>
      </c>
      <c r="K61" s="3">
        <v>46177</v>
      </c>
      <c r="L61">
        <v>1005</v>
      </c>
      <c r="M61" t="s">
        <v>222</v>
      </c>
      <c r="N61" t="s">
        <v>323</v>
      </c>
      <c r="O61" t="s">
        <v>324</v>
      </c>
      <c r="P61" t="s">
        <v>224</v>
      </c>
      <c r="Q61">
        <v>161</v>
      </c>
      <c r="R61">
        <v>1932</v>
      </c>
      <c r="S61">
        <v>12.461</v>
      </c>
      <c r="T61">
        <v>953.38800000000003</v>
      </c>
      <c r="U61">
        <v>1097.2458999999999</v>
      </c>
      <c r="V61">
        <v>3.87</v>
      </c>
      <c r="W61">
        <v>0</v>
      </c>
      <c r="X61">
        <v>0</v>
      </c>
      <c r="Y61" s="5">
        <v>3.76</v>
      </c>
      <c r="Z61" s="5">
        <v>7476.84</v>
      </c>
      <c r="AA61" s="5">
        <v>7264.32</v>
      </c>
      <c r="AZ61" t="str">
        <f t="shared" si="16"/>
        <v>US</v>
      </c>
      <c r="BA61" t="str">
        <f t="shared" si="17"/>
        <v>TL.339 US</v>
      </c>
      <c r="BB61" t="str">
        <f t="shared" si="18"/>
        <v>CY</v>
      </c>
      <c r="BC61" t="str">
        <f>IFERROR(VLOOKUP(BF61,[1]Sheet1!$A:$G,7,FALSE),"")</f>
        <v>LOS ANGELES</v>
      </c>
      <c r="BF61" t="str">
        <f t="shared" si="19"/>
        <v>USCY1005</v>
      </c>
      <c r="BH61" s="9">
        <f t="shared" si="20"/>
        <v>640299</v>
      </c>
      <c r="BI61" s="10" t="str">
        <f t="shared" si="21"/>
        <v>64029990</v>
      </c>
    </row>
    <row r="62" spans="1:61">
      <c r="A62" t="s">
        <v>360</v>
      </c>
      <c r="B62" t="s">
        <v>361</v>
      </c>
      <c r="C62" t="s">
        <v>362</v>
      </c>
      <c r="D62" s="1">
        <v>46234</v>
      </c>
      <c r="E62" t="s">
        <v>365</v>
      </c>
      <c r="F62" t="s">
        <v>366</v>
      </c>
      <c r="G62" t="s">
        <v>63</v>
      </c>
      <c r="H62" s="3" t="s">
        <v>55</v>
      </c>
      <c r="I62" t="s">
        <v>367</v>
      </c>
      <c r="J62" t="s">
        <v>368</v>
      </c>
      <c r="K62" s="3">
        <v>46177</v>
      </c>
      <c r="L62">
        <v>1005</v>
      </c>
      <c r="M62" t="s">
        <v>222</v>
      </c>
      <c r="N62" t="s">
        <v>323</v>
      </c>
      <c r="O62" t="s">
        <v>324</v>
      </c>
      <c r="P62" t="s">
        <v>224</v>
      </c>
      <c r="Q62">
        <v>412</v>
      </c>
      <c r="R62">
        <v>4944</v>
      </c>
      <c r="S62">
        <v>24.41</v>
      </c>
      <c r="T62">
        <v>1985.88</v>
      </c>
      <c r="U62">
        <v>2295.1187</v>
      </c>
      <c r="V62">
        <v>3.87</v>
      </c>
      <c r="W62">
        <v>0</v>
      </c>
      <c r="X62">
        <v>0</v>
      </c>
      <c r="Y62" s="5">
        <v>3.76</v>
      </c>
      <c r="Z62" s="5">
        <v>19133.28</v>
      </c>
      <c r="AA62" s="5">
        <v>18589.439999999999</v>
      </c>
      <c r="AZ62" t="str">
        <f t="shared" si="16"/>
        <v>US</v>
      </c>
      <c r="BA62" t="str">
        <f t="shared" si="17"/>
        <v>TL.339 US</v>
      </c>
      <c r="BB62" t="str">
        <f t="shared" si="18"/>
        <v>CY</v>
      </c>
      <c r="BC62" t="str">
        <f>IFERROR(VLOOKUP(BF62,[1]Sheet1!$A:$G,7,FALSE),"")</f>
        <v>LOS ANGELES</v>
      </c>
      <c r="BF62" t="str">
        <f t="shared" si="19"/>
        <v>USCY1005</v>
      </c>
      <c r="BH62" s="9">
        <f t="shared" si="20"/>
        <v>640299</v>
      </c>
      <c r="BI62" s="10" t="str">
        <f t="shared" si="21"/>
        <v>64029990</v>
      </c>
    </row>
    <row r="63" spans="1:61">
      <c r="A63" t="s">
        <v>360</v>
      </c>
      <c r="B63" t="s">
        <v>361</v>
      </c>
      <c r="C63" t="s">
        <v>362</v>
      </c>
      <c r="D63" s="1">
        <v>46234</v>
      </c>
      <c r="E63" t="s">
        <v>369</v>
      </c>
      <c r="F63" t="s">
        <v>370</v>
      </c>
      <c r="G63" t="s">
        <v>63</v>
      </c>
      <c r="H63" s="3" t="s">
        <v>55</v>
      </c>
      <c r="I63" t="s">
        <v>57</v>
      </c>
      <c r="J63" t="s">
        <v>58</v>
      </c>
      <c r="K63" s="3">
        <v>46177</v>
      </c>
      <c r="L63">
        <v>1005</v>
      </c>
      <c r="M63" t="s">
        <v>222</v>
      </c>
      <c r="N63" t="s">
        <v>323</v>
      </c>
      <c r="O63" t="s">
        <v>324</v>
      </c>
      <c r="P63" t="s">
        <v>224</v>
      </c>
      <c r="Q63">
        <v>88</v>
      </c>
      <c r="R63">
        <v>2112</v>
      </c>
      <c r="S63">
        <v>13.827</v>
      </c>
      <c r="T63">
        <v>672.64800000000002</v>
      </c>
      <c r="U63">
        <v>891.37940000000003</v>
      </c>
      <c r="V63">
        <v>5.13</v>
      </c>
      <c r="W63">
        <v>0</v>
      </c>
      <c r="X63">
        <v>0</v>
      </c>
      <c r="Y63" s="5">
        <v>4.9800000000000004</v>
      </c>
      <c r="Z63" s="5">
        <v>10834.56</v>
      </c>
      <c r="AA63" s="5">
        <v>10517.76</v>
      </c>
      <c r="AZ63" t="str">
        <f t="shared" si="16"/>
        <v>US</v>
      </c>
      <c r="BA63" t="str">
        <f t="shared" si="17"/>
        <v>TL.339 US</v>
      </c>
      <c r="BB63" t="str">
        <f t="shared" si="18"/>
        <v>CY</v>
      </c>
      <c r="BC63" t="str">
        <f>IFERROR(VLOOKUP(BF63,[1]Sheet1!$A:$G,7,FALSE),"")</f>
        <v>LOS ANGELES</v>
      </c>
      <c r="BF63" t="str">
        <f t="shared" si="19"/>
        <v>USCY1005</v>
      </c>
      <c r="BH63" s="9">
        <f t="shared" si="20"/>
        <v>640299</v>
      </c>
      <c r="BI63" s="10" t="str">
        <f t="shared" si="21"/>
        <v>64029990</v>
      </c>
    </row>
    <row r="64" spans="1:61">
      <c r="A64" t="s">
        <v>360</v>
      </c>
      <c r="B64" t="s">
        <v>361</v>
      </c>
      <c r="C64" t="s">
        <v>362</v>
      </c>
      <c r="D64" s="1">
        <v>46234</v>
      </c>
      <c r="E64" t="s">
        <v>371</v>
      </c>
      <c r="F64" t="s">
        <v>372</v>
      </c>
      <c r="G64" t="s">
        <v>63</v>
      </c>
      <c r="H64" s="3" t="s">
        <v>55</v>
      </c>
      <c r="I64" t="s">
        <v>373</v>
      </c>
      <c r="J64" t="s">
        <v>374</v>
      </c>
      <c r="K64" s="3">
        <v>46177</v>
      </c>
      <c r="L64">
        <v>1005</v>
      </c>
      <c r="M64" t="s">
        <v>222</v>
      </c>
      <c r="N64" t="s">
        <v>323</v>
      </c>
      <c r="O64" t="s">
        <v>324</v>
      </c>
      <c r="P64" t="s">
        <v>224</v>
      </c>
      <c r="Q64">
        <v>304</v>
      </c>
      <c r="R64">
        <v>7224</v>
      </c>
      <c r="S64">
        <v>15.223000000000001</v>
      </c>
      <c r="T64">
        <v>1042.116</v>
      </c>
      <c r="U64">
        <v>1251.1400000000001</v>
      </c>
      <c r="V64">
        <v>2.13</v>
      </c>
      <c r="W64">
        <v>0</v>
      </c>
      <c r="X64">
        <v>0</v>
      </c>
      <c r="Y64" s="5">
        <v>2.0699999999999998</v>
      </c>
      <c r="Z64" s="5">
        <v>15387.12</v>
      </c>
      <c r="AA64" s="5">
        <v>14953.68</v>
      </c>
      <c r="AZ64" t="str">
        <f t="shared" si="16"/>
        <v>US</v>
      </c>
      <c r="BA64" t="str">
        <f t="shared" si="17"/>
        <v>TL.339 US</v>
      </c>
      <c r="BB64" t="str">
        <f t="shared" si="18"/>
        <v>CY</v>
      </c>
      <c r="BC64" t="str">
        <f>IFERROR(VLOOKUP(BF64,[1]Sheet1!$A:$G,7,FALSE),"")</f>
        <v>LOS ANGELES</v>
      </c>
      <c r="BF64" t="str">
        <f t="shared" si="19"/>
        <v>USCY1005</v>
      </c>
      <c r="BH64" s="9">
        <f t="shared" si="20"/>
        <v>640299</v>
      </c>
      <c r="BI64" s="10" t="str">
        <f t="shared" si="21"/>
        <v>64029990</v>
      </c>
    </row>
    <row r="65" spans="1:61">
      <c r="D65" s="1"/>
      <c r="K65" s="3"/>
      <c r="Y65" s="5"/>
      <c r="Z65" s="5"/>
      <c r="AA65" s="5"/>
      <c r="AZ65" t="str">
        <f t="shared" si="16"/>
        <v/>
      </c>
      <c r="BA65" t="str">
        <f t="shared" si="17"/>
        <v/>
      </c>
      <c r="BB65" t="str">
        <f t="shared" si="18"/>
        <v/>
      </c>
      <c r="BC65" t="str">
        <f>IFERROR(VLOOKUP(BF65,[1]Sheet1!$A:$G,7,FALSE),"")</f>
        <v/>
      </c>
      <c r="BF65" t="str">
        <f t="shared" si="19"/>
        <v/>
      </c>
      <c r="BH65" s="9" t="str">
        <f t="shared" si="20"/>
        <v/>
      </c>
      <c r="BI65" s="10" t="str">
        <f t="shared" si="21"/>
        <v/>
      </c>
    </row>
    <row r="66" spans="1:61">
      <c r="A66" t="s">
        <v>375</v>
      </c>
      <c r="B66" t="s">
        <v>376</v>
      </c>
      <c r="C66" t="s">
        <v>377</v>
      </c>
      <c r="D66" s="1">
        <v>46234</v>
      </c>
      <c r="E66" t="s">
        <v>378</v>
      </c>
      <c r="F66" t="s">
        <v>379</v>
      </c>
      <c r="G66" t="s">
        <v>63</v>
      </c>
      <c r="H66" s="3" t="s">
        <v>55</v>
      </c>
      <c r="I66" t="s">
        <v>73</v>
      </c>
      <c r="J66" t="s">
        <v>74</v>
      </c>
      <c r="K66" s="3">
        <v>46177</v>
      </c>
      <c r="L66">
        <v>1005</v>
      </c>
      <c r="M66" t="s">
        <v>222</v>
      </c>
      <c r="N66" t="s">
        <v>323</v>
      </c>
      <c r="O66" t="s">
        <v>324</v>
      </c>
      <c r="P66" t="s">
        <v>224</v>
      </c>
      <c r="Q66">
        <v>27</v>
      </c>
      <c r="R66">
        <v>648</v>
      </c>
      <c r="S66">
        <v>1.9119999999999999</v>
      </c>
      <c r="T66">
        <v>242.28</v>
      </c>
      <c r="U66">
        <v>265.04129999999998</v>
      </c>
      <c r="V66">
        <v>3.51</v>
      </c>
      <c r="W66">
        <v>0</v>
      </c>
      <c r="X66">
        <v>0</v>
      </c>
      <c r="Y66" s="5">
        <v>3.41</v>
      </c>
      <c r="Z66" s="5">
        <v>2274.48</v>
      </c>
      <c r="AA66" s="5">
        <v>2209.6799999999998</v>
      </c>
      <c r="AZ66" t="str">
        <f t="shared" si="16"/>
        <v>US</v>
      </c>
      <c r="BA66" t="str">
        <f t="shared" si="17"/>
        <v>TL.340 US</v>
      </c>
      <c r="BB66" t="str">
        <f t="shared" si="18"/>
        <v>CY</v>
      </c>
      <c r="BC66" t="str">
        <f>IFERROR(VLOOKUP(BF66,[1]Sheet1!$A:$G,7,FALSE),"")</f>
        <v>LOS ANGELES</v>
      </c>
      <c r="BF66" t="str">
        <f t="shared" si="19"/>
        <v>USCY1005</v>
      </c>
      <c r="BH66" s="9">
        <f t="shared" si="20"/>
        <v>640299</v>
      </c>
      <c r="BI66" s="10" t="str">
        <f t="shared" si="21"/>
        <v>64029990</v>
      </c>
    </row>
    <row r="67" spans="1:61">
      <c r="A67" t="s">
        <v>375</v>
      </c>
      <c r="B67" t="s">
        <v>376</v>
      </c>
      <c r="C67" t="s">
        <v>377</v>
      </c>
      <c r="D67" s="1">
        <v>46234</v>
      </c>
      <c r="E67" t="s">
        <v>380</v>
      </c>
      <c r="F67" t="s">
        <v>381</v>
      </c>
      <c r="G67" t="s">
        <v>63</v>
      </c>
      <c r="H67" s="3" t="s">
        <v>55</v>
      </c>
      <c r="I67" t="s">
        <v>373</v>
      </c>
      <c r="J67" t="s">
        <v>374</v>
      </c>
      <c r="K67" s="3">
        <v>46177</v>
      </c>
      <c r="L67">
        <v>1005</v>
      </c>
      <c r="M67" t="s">
        <v>222</v>
      </c>
      <c r="N67" t="s">
        <v>323</v>
      </c>
      <c r="O67" t="s">
        <v>324</v>
      </c>
      <c r="P67" t="s">
        <v>224</v>
      </c>
      <c r="Q67">
        <v>122</v>
      </c>
      <c r="R67">
        <v>2928</v>
      </c>
      <c r="S67">
        <v>6.0049999999999999</v>
      </c>
      <c r="T67">
        <v>634.17600000000004</v>
      </c>
      <c r="U67">
        <v>717.51969999999994</v>
      </c>
      <c r="V67">
        <v>2.13</v>
      </c>
      <c r="W67">
        <v>0</v>
      </c>
      <c r="X67">
        <v>0</v>
      </c>
      <c r="Y67" s="5">
        <v>2.0699999999999998</v>
      </c>
      <c r="Z67" s="5">
        <v>6236.64</v>
      </c>
      <c r="AA67" s="5">
        <v>6060.96</v>
      </c>
      <c r="AZ67" t="str">
        <f t="shared" si="16"/>
        <v>US</v>
      </c>
      <c r="BA67" t="str">
        <f t="shared" si="17"/>
        <v>TL.340 US</v>
      </c>
      <c r="BB67" t="str">
        <f t="shared" si="18"/>
        <v>CY</v>
      </c>
      <c r="BC67" t="str">
        <f>IFERROR(VLOOKUP(BF67,[1]Sheet1!$A:$G,7,FALSE),"")</f>
        <v>LOS ANGELES</v>
      </c>
      <c r="BF67" t="str">
        <f t="shared" si="19"/>
        <v>USCY1005</v>
      </c>
      <c r="BH67" s="9">
        <f t="shared" si="20"/>
        <v>640299</v>
      </c>
      <c r="BI67" s="10" t="str">
        <f t="shared" si="21"/>
        <v>64029990</v>
      </c>
    </row>
    <row r="68" spans="1:61">
      <c r="A68" t="s">
        <v>375</v>
      </c>
      <c r="B68" t="s">
        <v>376</v>
      </c>
      <c r="C68" t="s">
        <v>377</v>
      </c>
      <c r="D68" s="1">
        <v>46234</v>
      </c>
      <c r="E68" t="s">
        <v>382</v>
      </c>
      <c r="F68" t="s">
        <v>383</v>
      </c>
      <c r="G68" t="s">
        <v>63</v>
      </c>
      <c r="H68" s="3" t="s">
        <v>55</v>
      </c>
      <c r="I68" t="s">
        <v>61</v>
      </c>
      <c r="J68" t="s">
        <v>62</v>
      </c>
      <c r="K68" s="3">
        <v>46177</v>
      </c>
      <c r="L68">
        <v>1005</v>
      </c>
      <c r="M68" t="s">
        <v>222</v>
      </c>
      <c r="N68" t="s">
        <v>323</v>
      </c>
      <c r="O68" t="s">
        <v>324</v>
      </c>
      <c r="P68" t="s">
        <v>224</v>
      </c>
      <c r="Q68">
        <v>18</v>
      </c>
      <c r="R68">
        <v>432</v>
      </c>
      <c r="S68">
        <v>2.806</v>
      </c>
      <c r="T68">
        <v>123.91200000000001</v>
      </c>
      <c r="U68">
        <v>168.17349999999999</v>
      </c>
      <c r="V68">
        <v>5.27</v>
      </c>
      <c r="W68">
        <v>0</v>
      </c>
      <c r="X68">
        <v>0</v>
      </c>
      <c r="Y68" s="5">
        <v>5.12</v>
      </c>
      <c r="Z68" s="5">
        <v>2276.64</v>
      </c>
      <c r="AA68" s="5">
        <v>2211.84</v>
      </c>
      <c r="AZ68" t="str">
        <f t="shared" si="16"/>
        <v>US</v>
      </c>
      <c r="BA68" t="str">
        <f t="shared" si="17"/>
        <v>TL.340 US</v>
      </c>
      <c r="BB68" t="str">
        <f t="shared" si="18"/>
        <v>CY</v>
      </c>
      <c r="BC68" t="str">
        <f>IFERROR(VLOOKUP(BF68,[1]Sheet1!$A:$G,7,FALSE),"")</f>
        <v>LOS ANGELES</v>
      </c>
      <c r="BF68" t="str">
        <f t="shared" si="19"/>
        <v>USCY1005</v>
      </c>
      <c r="BH68" s="9">
        <f t="shared" si="20"/>
        <v>640299</v>
      </c>
      <c r="BI68" s="10" t="str">
        <f t="shared" si="21"/>
        <v>64029990</v>
      </c>
    </row>
    <row r="69" spans="1:61">
      <c r="A69" t="s">
        <v>375</v>
      </c>
      <c r="B69" t="s">
        <v>376</v>
      </c>
      <c r="C69" t="s">
        <v>377</v>
      </c>
      <c r="D69" s="1">
        <v>46234</v>
      </c>
      <c r="E69" t="s">
        <v>384</v>
      </c>
      <c r="F69" t="s">
        <v>385</v>
      </c>
      <c r="G69" t="s">
        <v>63</v>
      </c>
      <c r="H69" s="3" t="s">
        <v>55</v>
      </c>
      <c r="I69" t="s">
        <v>386</v>
      </c>
      <c r="J69" t="s">
        <v>387</v>
      </c>
      <c r="K69" s="3">
        <v>46177</v>
      </c>
      <c r="L69">
        <v>1005</v>
      </c>
      <c r="M69" t="s">
        <v>222</v>
      </c>
      <c r="N69" t="s">
        <v>323</v>
      </c>
      <c r="O69" t="s">
        <v>324</v>
      </c>
      <c r="P69" t="s">
        <v>224</v>
      </c>
      <c r="Q69">
        <v>37</v>
      </c>
      <c r="R69">
        <v>888</v>
      </c>
      <c r="S69">
        <v>2.653</v>
      </c>
      <c r="T69">
        <v>335.4</v>
      </c>
      <c r="U69">
        <v>367.10239999999999</v>
      </c>
      <c r="V69">
        <v>3.51</v>
      </c>
      <c r="W69">
        <v>0</v>
      </c>
      <c r="X69">
        <v>0</v>
      </c>
      <c r="Y69" s="5">
        <v>3.41</v>
      </c>
      <c r="Z69" s="5">
        <v>3116.88</v>
      </c>
      <c r="AA69" s="5">
        <v>3028.08</v>
      </c>
      <c r="AZ69" t="str">
        <f t="shared" si="16"/>
        <v>US</v>
      </c>
      <c r="BA69" t="str">
        <f t="shared" si="17"/>
        <v>TL.340 US</v>
      </c>
      <c r="BB69" t="str">
        <f t="shared" si="18"/>
        <v>CY</v>
      </c>
      <c r="BC69" t="str">
        <f>IFERROR(VLOOKUP(BF69,[1]Sheet1!$A:$G,7,FALSE),"")</f>
        <v>LOS ANGELES</v>
      </c>
      <c r="BF69" t="str">
        <f t="shared" si="19"/>
        <v>USCY1005</v>
      </c>
      <c r="BH69" s="9">
        <f t="shared" si="20"/>
        <v>640299</v>
      </c>
      <c r="BI69" s="10" t="str">
        <f t="shared" si="21"/>
        <v>64029990</v>
      </c>
    </row>
    <row r="70" spans="1:61">
      <c r="A70" t="s">
        <v>375</v>
      </c>
      <c r="B70" t="s">
        <v>376</v>
      </c>
      <c r="C70" t="s">
        <v>377</v>
      </c>
      <c r="D70" s="1">
        <v>46234</v>
      </c>
      <c r="E70" t="s">
        <v>388</v>
      </c>
      <c r="F70" t="s">
        <v>389</v>
      </c>
      <c r="G70" t="s">
        <v>63</v>
      </c>
      <c r="H70" s="3" t="s">
        <v>55</v>
      </c>
      <c r="I70" t="s">
        <v>61</v>
      </c>
      <c r="J70" t="s">
        <v>62</v>
      </c>
      <c r="K70" s="3">
        <v>46177</v>
      </c>
      <c r="L70">
        <v>1005</v>
      </c>
      <c r="M70" t="s">
        <v>222</v>
      </c>
      <c r="N70" t="s">
        <v>323</v>
      </c>
      <c r="O70" t="s">
        <v>324</v>
      </c>
      <c r="P70" t="s">
        <v>224</v>
      </c>
      <c r="Q70">
        <v>36</v>
      </c>
      <c r="R70">
        <v>864</v>
      </c>
      <c r="S70">
        <v>5.4939999999999998</v>
      </c>
      <c r="T70">
        <v>248.68799999999999</v>
      </c>
      <c r="U70">
        <v>336.66719999999998</v>
      </c>
      <c r="V70">
        <v>5.27</v>
      </c>
      <c r="W70">
        <v>0</v>
      </c>
      <c r="X70">
        <v>0</v>
      </c>
      <c r="Y70" s="5">
        <v>5.12</v>
      </c>
      <c r="Z70" s="5">
        <v>4553.28</v>
      </c>
      <c r="AA70" s="5">
        <v>4423.68</v>
      </c>
      <c r="AZ70" t="str">
        <f t="shared" si="16"/>
        <v>US</v>
      </c>
      <c r="BA70" t="str">
        <f t="shared" si="17"/>
        <v>TL.340 US</v>
      </c>
      <c r="BB70" t="str">
        <f t="shared" si="18"/>
        <v>CY</v>
      </c>
      <c r="BC70" t="str">
        <f>IFERROR(VLOOKUP(BF70,[1]Sheet1!$A:$G,7,FALSE),"")</f>
        <v>LOS ANGELES</v>
      </c>
      <c r="BF70" t="str">
        <f t="shared" si="19"/>
        <v>USCY1005</v>
      </c>
      <c r="BH70" s="9">
        <f t="shared" si="20"/>
        <v>640299</v>
      </c>
      <c r="BI70" s="10" t="str">
        <f t="shared" si="21"/>
        <v>64029990</v>
      </c>
    </row>
    <row r="71" spans="1:61">
      <c r="A71" t="s">
        <v>375</v>
      </c>
      <c r="B71" t="s">
        <v>376</v>
      </c>
      <c r="C71" t="s">
        <v>377</v>
      </c>
      <c r="D71" s="1">
        <v>46234</v>
      </c>
      <c r="E71" t="s">
        <v>390</v>
      </c>
      <c r="F71" t="s">
        <v>391</v>
      </c>
      <c r="G71" t="s">
        <v>63</v>
      </c>
      <c r="H71" s="3" t="s">
        <v>55</v>
      </c>
      <c r="I71" t="s">
        <v>315</v>
      </c>
      <c r="J71" t="s">
        <v>316</v>
      </c>
      <c r="K71" s="3">
        <v>46177</v>
      </c>
      <c r="L71">
        <v>1005</v>
      </c>
      <c r="M71" t="s">
        <v>222</v>
      </c>
      <c r="N71" t="s">
        <v>323</v>
      </c>
      <c r="O71" t="s">
        <v>324</v>
      </c>
      <c r="P71" t="s">
        <v>224</v>
      </c>
      <c r="Q71">
        <v>276</v>
      </c>
      <c r="R71">
        <v>6576</v>
      </c>
      <c r="S71">
        <v>27.050999999999998</v>
      </c>
      <c r="T71">
        <v>1511.8440000000001</v>
      </c>
      <c r="U71">
        <v>1804.6518000000001</v>
      </c>
      <c r="V71">
        <v>2.57</v>
      </c>
      <c r="W71">
        <v>0</v>
      </c>
      <c r="X71">
        <v>0</v>
      </c>
      <c r="Y71" s="5">
        <v>2.5</v>
      </c>
      <c r="Z71" s="5">
        <v>16900.32</v>
      </c>
      <c r="AA71" s="5">
        <v>16440</v>
      </c>
      <c r="AZ71" t="str">
        <f t="shared" si="16"/>
        <v>US</v>
      </c>
      <c r="BA71" t="str">
        <f t="shared" si="17"/>
        <v>TL.340 US</v>
      </c>
      <c r="BB71" t="str">
        <f t="shared" si="18"/>
        <v>CY</v>
      </c>
      <c r="BC71" t="str">
        <f>IFERROR(VLOOKUP(BF71,[1]Sheet1!$A:$G,7,FALSE),"")</f>
        <v>LOS ANGELES</v>
      </c>
      <c r="BF71" t="str">
        <f t="shared" si="19"/>
        <v>USCY1005</v>
      </c>
      <c r="BH71" s="9">
        <f t="shared" si="20"/>
        <v>640299</v>
      </c>
      <c r="BI71" s="10" t="str">
        <f t="shared" si="21"/>
        <v>64029990</v>
      </c>
    </row>
    <row r="72" spans="1:61">
      <c r="A72" t="s">
        <v>375</v>
      </c>
      <c r="B72" t="s">
        <v>376</v>
      </c>
      <c r="C72" t="s">
        <v>377</v>
      </c>
      <c r="D72" s="1">
        <v>46234</v>
      </c>
      <c r="E72" t="s">
        <v>392</v>
      </c>
      <c r="F72" t="s">
        <v>393</v>
      </c>
      <c r="G72" t="s">
        <v>63</v>
      </c>
      <c r="H72" s="3" t="s">
        <v>55</v>
      </c>
      <c r="I72" t="s">
        <v>68</v>
      </c>
      <c r="J72" t="s">
        <v>69</v>
      </c>
      <c r="K72" s="3">
        <v>46177</v>
      </c>
      <c r="L72">
        <v>1005</v>
      </c>
      <c r="M72" t="s">
        <v>222</v>
      </c>
      <c r="N72" t="s">
        <v>323</v>
      </c>
      <c r="O72" t="s">
        <v>324</v>
      </c>
      <c r="P72" t="s">
        <v>224</v>
      </c>
      <c r="Q72">
        <v>50</v>
      </c>
      <c r="R72">
        <v>600</v>
      </c>
      <c r="S72">
        <v>3.47</v>
      </c>
      <c r="T72">
        <v>276.25200000000001</v>
      </c>
      <c r="U72">
        <v>332.49560000000002</v>
      </c>
      <c r="V72">
        <v>5.04</v>
      </c>
      <c r="W72">
        <v>0</v>
      </c>
      <c r="X72">
        <v>0</v>
      </c>
      <c r="Y72" s="5">
        <v>4.8899999999999997</v>
      </c>
      <c r="Z72" s="5">
        <v>3024</v>
      </c>
      <c r="AA72" s="5">
        <v>2934</v>
      </c>
      <c r="AZ72" t="str">
        <f t="shared" si="16"/>
        <v>US</v>
      </c>
      <c r="BA72" t="str">
        <f t="shared" si="17"/>
        <v>TL.340 US</v>
      </c>
      <c r="BB72" t="str">
        <f t="shared" si="18"/>
        <v>CY</v>
      </c>
      <c r="BC72" t="str">
        <f>IFERROR(VLOOKUP(BF72,[1]Sheet1!$A:$G,7,FALSE),"")</f>
        <v>LOS ANGELES</v>
      </c>
      <c r="BF72" t="str">
        <f t="shared" si="19"/>
        <v>USCY1005</v>
      </c>
      <c r="BH72" s="9">
        <f t="shared" si="20"/>
        <v>640299</v>
      </c>
      <c r="BI72" s="10" t="str">
        <f t="shared" si="21"/>
        <v>64029990</v>
      </c>
    </row>
    <row r="73" spans="1:61">
      <c r="A73" t="s">
        <v>375</v>
      </c>
      <c r="B73" t="s">
        <v>376</v>
      </c>
      <c r="C73" t="s">
        <v>377</v>
      </c>
      <c r="D73" s="1">
        <v>46234</v>
      </c>
      <c r="E73" t="s">
        <v>394</v>
      </c>
      <c r="F73" t="s">
        <v>395</v>
      </c>
      <c r="G73" t="s">
        <v>63</v>
      </c>
      <c r="H73" s="3" t="s">
        <v>55</v>
      </c>
      <c r="I73" t="s">
        <v>396</v>
      </c>
      <c r="J73" t="s">
        <v>397</v>
      </c>
      <c r="K73" s="3">
        <v>46177</v>
      </c>
      <c r="L73">
        <v>1005</v>
      </c>
      <c r="M73" t="s">
        <v>222</v>
      </c>
      <c r="N73" t="s">
        <v>323</v>
      </c>
      <c r="O73" t="s">
        <v>324</v>
      </c>
      <c r="P73" t="s">
        <v>224</v>
      </c>
      <c r="Q73">
        <v>111</v>
      </c>
      <c r="R73">
        <v>1332</v>
      </c>
      <c r="S73">
        <v>8.9260000000000002</v>
      </c>
      <c r="T73">
        <v>552.79200000000003</v>
      </c>
      <c r="U73">
        <v>653.77790000000005</v>
      </c>
      <c r="V73">
        <v>4.76</v>
      </c>
      <c r="W73">
        <v>0</v>
      </c>
      <c r="X73">
        <v>0</v>
      </c>
      <c r="Y73" s="5">
        <v>4.62</v>
      </c>
      <c r="Z73" s="5">
        <v>6340.32</v>
      </c>
      <c r="AA73" s="5">
        <v>6153.84</v>
      </c>
      <c r="AZ73" t="str">
        <f t="shared" si="16"/>
        <v>US</v>
      </c>
      <c r="BA73" t="str">
        <f t="shared" si="17"/>
        <v>TL.340 US</v>
      </c>
      <c r="BB73" t="str">
        <f t="shared" si="18"/>
        <v>CY</v>
      </c>
      <c r="BC73" t="str">
        <f>IFERROR(VLOOKUP(BF73,[1]Sheet1!$A:$G,7,FALSE),"")</f>
        <v>LOS ANGELES</v>
      </c>
      <c r="BF73" t="str">
        <f t="shared" si="19"/>
        <v>USCY1005</v>
      </c>
      <c r="BH73" s="9">
        <f t="shared" si="20"/>
        <v>640299</v>
      </c>
      <c r="BI73" s="10" t="str">
        <f t="shared" si="21"/>
        <v>64029990</v>
      </c>
    </row>
    <row r="74" spans="1:61">
      <c r="A74" t="s">
        <v>375</v>
      </c>
      <c r="B74" t="s">
        <v>376</v>
      </c>
      <c r="C74" t="s">
        <v>377</v>
      </c>
      <c r="D74" s="1">
        <v>46234</v>
      </c>
      <c r="E74" t="s">
        <v>398</v>
      </c>
      <c r="F74" t="s">
        <v>399</v>
      </c>
      <c r="G74" t="s">
        <v>63</v>
      </c>
      <c r="H74" s="3" t="s">
        <v>55</v>
      </c>
      <c r="I74" t="s">
        <v>279</v>
      </c>
      <c r="J74" t="s">
        <v>280</v>
      </c>
      <c r="K74" s="3">
        <v>46177</v>
      </c>
      <c r="L74">
        <v>1005</v>
      </c>
      <c r="M74" t="s">
        <v>222</v>
      </c>
      <c r="N74" t="s">
        <v>323</v>
      </c>
      <c r="O74" t="s">
        <v>324</v>
      </c>
      <c r="P74" t="s">
        <v>224</v>
      </c>
      <c r="Q74">
        <v>57</v>
      </c>
      <c r="R74">
        <v>684</v>
      </c>
      <c r="S74">
        <v>4.0359999999999996</v>
      </c>
      <c r="T74">
        <v>247.392</v>
      </c>
      <c r="U74">
        <v>295.05160000000001</v>
      </c>
      <c r="V74">
        <v>2.8</v>
      </c>
      <c r="W74">
        <v>0</v>
      </c>
      <c r="X74">
        <v>0</v>
      </c>
      <c r="Y74" s="5">
        <v>2.72</v>
      </c>
      <c r="Z74" s="5">
        <v>1915.2</v>
      </c>
      <c r="AA74" s="5">
        <v>1860.48</v>
      </c>
      <c r="AZ74" t="str">
        <f t="shared" si="16"/>
        <v>US</v>
      </c>
      <c r="BA74" t="str">
        <f t="shared" si="17"/>
        <v>TL.340 US</v>
      </c>
      <c r="BB74" t="str">
        <f t="shared" si="18"/>
        <v>CY</v>
      </c>
      <c r="BC74" t="str">
        <f>IFERROR(VLOOKUP(BF74,[1]Sheet1!$A:$G,7,FALSE),"")</f>
        <v>LOS ANGELES</v>
      </c>
      <c r="BF74" t="str">
        <f t="shared" si="19"/>
        <v>USCY1005</v>
      </c>
      <c r="BH74" s="9">
        <f t="shared" si="20"/>
        <v>640299</v>
      </c>
      <c r="BI74" s="10" t="str">
        <f t="shared" si="21"/>
        <v>64029990</v>
      </c>
    </row>
    <row r="75" spans="1:61">
      <c r="A75" t="s">
        <v>375</v>
      </c>
      <c r="B75" t="s">
        <v>376</v>
      </c>
      <c r="C75" t="s">
        <v>377</v>
      </c>
      <c r="D75" s="1">
        <v>46234</v>
      </c>
      <c r="E75" t="s">
        <v>400</v>
      </c>
      <c r="F75" t="s">
        <v>401</v>
      </c>
      <c r="G75" t="s">
        <v>63</v>
      </c>
      <c r="H75" s="3" t="s">
        <v>55</v>
      </c>
      <c r="I75" t="s">
        <v>402</v>
      </c>
      <c r="J75" t="s">
        <v>403</v>
      </c>
      <c r="K75" s="3">
        <v>46177</v>
      </c>
      <c r="L75">
        <v>1005</v>
      </c>
      <c r="M75" t="s">
        <v>222</v>
      </c>
      <c r="N75" t="s">
        <v>323</v>
      </c>
      <c r="O75" t="s">
        <v>324</v>
      </c>
      <c r="P75" t="s">
        <v>224</v>
      </c>
      <c r="Q75">
        <v>52</v>
      </c>
      <c r="R75">
        <v>624</v>
      </c>
      <c r="S75">
        <v>3.339</v>
      </c>
      <c r="T75">
        <v>264.60000000000002</v>
      </c>
      <c r="U75">
        <v>305.72210000000001</v>
      </c>
      <c r="V75">
        <v>3.87</v>
      </c>
      <c r="W75">
        <v>0</v>
      </c>
      <c r="X75">
        <v>0</v>
      </c>
      <c r="Y75" s="5">
        <v>3.76</v>
      </c>
      <c r="Z75" s="5">
        <v>2414.88</v>
      </c>
      <c r="AA75" s="5">
        <v>2346.2399999999998</v>
      </c>
      <c r="AZ75" t="str">
        <f t="shared" si="16"/>
        <v>US</v>
      </c>
      <c r="BA75" t="str">
        <f t="shared" si="17"/>
        <v>TL.340 US</v>
      </c>
      <c r="BB75" t="str">
        <f t="shared" si="18"/>
        <v>CY</v>
      </c>
      <c r="BC75" t="str">
        <f>IFERROR(VLOOKUP(BF75,[1]Sheet1!$A:$G,7,FALSE),"")</f>
        <v>LOS ANGELES</v>
      </c>
      <c r="BF75" t="str">
        <f t="shared" si="19"/>
        <v>USCY1005</v>
      </c>
      <c r="BH75" s="9">
        <f t="shared" si="20"/>
        <v>640299</v>
      </c>
      <c r="BI75" s="10" t="str">
        <f t="shared" si="21"/>
        <v>64029990</v>
      </c>
    </row>
  </sheetData>
  <autoFilter ref="A1:BI75"/>
  <conditionalFormatting sqref="F1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"/>
  <sheetViews>
    <sheetView workbookViewId="0">
      <selection activeCell="B2" sqref="B2"/>
    </sheetView>
  </sheetViews>
  <sheetFormatPr defaultColWidth="9" defaultRowHeight="15"/>
  <cols>
    <col min="3" max="3" width="10.5703125" customWidth="1"/>
  </cols>
  <sheetData>
    <row r="1" spans="2:8" ht="47.25">
      <c r="B1" s="7" t="s">
        <v>47</v>
      </c>
      <c r="C1" s="7" t="s">
        <v>48</v>
      </c>
      <c r="D1" s="7" t="s">
        <v>49</v>
      </c>
      <c r="E1" s="7" t="s">
        <v>50</v>
      </c>
      <c r="H1" s="8" t="s">
        <v>51</v>
      </c>
    </row>
    <row r="2" spans="2:8">
      <c r="B2" t="str">
        <f>IF(LEN(A2)=9,MID(A2,FIND("-",A2)+1,FIND("-",A2,FIND("-",A2)+1)-FIND("-",A2)-1),IF(LEN(A2)=10,MID(A2,FIND("-",A2)+1,FIND("-",A2,FIND("-",A2)+1)-FIND("-",A2)-1),IF(LEN(A2)=12,MID(A2,FIND("-",A2,FIND("-",A2)+1)+1,FIND("-",A2,FIND("-",A2,FIND("-",A2)+1)+1)-FIND("-",A2,FIND("-",A2)+1)-1),IF(LEN(A2)=13,MID(A2,FIND("-",A2,FIND("-",A2)+1)+1,FIND("-",A2,FIND("-",A2,FIND("-",A2)+1)+1)-FIND("-",A2,FIND("-",A2)+1)-1),""))))</f>
        <v/>
      </c>
      <c r="C2" t="str">
        <f>IFERROR("TL."&amp;RIGHT(A2,3)&amp;" "&amp;IF(LEN(A2)-LEN(SUBSTITUTE(A2,"-",""))=2,MID(A2,FIND("-",A2)+1,2),MID(A2,FIND("-",A2,FIND("-",A2)+1)+1,2)),"")</f>
        <v/>
      </c>
      <c r="D2" t="str">
        <f>IFERROR(LEFT(A2,FIND("-",A2)-1),"")</f>
        <v/>
      </c>
      <c r="E2" t="str">
        <f>IFERROR(VLOOKUP(AH2,[1]Sheet1!$A:$G,7,FALSE),"")</f>
        <v/>
      </c>
      <c r="H2" t="str">
        <f>B2&amp;D2&amp;"Branch Plant"</f>
        <v>Branch Plant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144"/>
  <sheetViews>
    <sheetView topLeftCell="A47" workbookViewId="0">
      <selection activeCell="A76" sqref="A76"/>
    </sheetView>
  </sheetViews>
  <sheetFormatPr defaultColWidth="9" defaultRowHeight="15"/>
  <sheetData>
    <row r="2" spans="1:35">
      <c r="A2" t="s">
        <v>79</v>
      </c>
      <c r="D2" s="1"/>
      <c r="K2" s="3"/>
      <c r="Y2" s="5"/>
      <c r="Z2" s="5"/>
      <c r="AA2" s="5"/>
      <c r="AB2" s="5"/>
      <c r="AC2" s="6"/>
      <c r="AF2" s="5"/>
      <c r="AG2" s="5"/>
      <c r="AI2" s="3"/>
    </row>
    <row r="3" spans="1:35">
      <c r="A3" t="s">
        <v>80</v>
      </c>
      <c r="D3" s="1"/>
      <c r="K3" s="3"/>
      <c r="Y3" s="5"/>
      <c r="Z3" s="5"/>
      <c r="AA3" s="5"/>
      <c r="AB3" s="5"/>
      <c r="AC3" s="6"/>
      <c r="AF3" s="5"/>
      <c r="AG3" s="5"/>
      <c r="AI3" s="3"/>
    </row>
    <row r="4" spans="1:35">
      <c r="A4" t="s">
        <v>81</v>
      </c>
      <c r="D4" s="1"/>
      <c r="K4" s="3"/>
      <c r="Y4" s="5"/>
      <c r="Z4" s="5"/>
      <c r="AA4" s="5"/>
      <c r="AB4" s="5"/>
      <c r="AC4" s="6"/>
      <c r="AF4" s="5"/>
      <c r="AG4" s="5"/>
      <c r="AI4" s="3"/>
    </row>
    <row r="5" spans="1:35">
      <c r="A5" t="s">
        <v>82</v>
      </c>
      <c r="D5" s="1"/>
      <c r="K5" s="3"/>
      <c r="Y5" s="5"/>
      <c r="Z5" s="5"/>
      <c r="AA5" s="5"/>
      <c r="AB5" s="5"/>
      <c r="AC5" s="6"/>
      <c r="AF5" s="5"/>
      <c r="AG5" s="5"/>
      <c r="AI5" s="3"/>
    </row>
    <row r="6" spans="1:35">
      <c r="A6" t="s">
        <v>83</v>
      </c>
      <c r="D6" s="1"/>
      <c r="K6" s="3"/>
      <c r="Y6" s="5"/>
      <c r="Z6" s="5"/>
      <c r="AA6" s="5"/>
      <c r="AB6" s="5"/>
      <c r="AC6" s="6"/>
      <c r="AF6" s="5"/>
      <c r="AG6" s="5"/>
      <c r="AI6" s="3"/>
    </row>
    <row r="7" spans="1:35">
      <c r="A7" t="s">
        <v>84</v>
      </c>
      <c r="D7" s="1"/>
      <c r="K7" s="3"/>
      <c r="Y7" s="5"/>
      <c r="Z7" s="5"/>
      <c r="AA7" s="5"/>
      <c r="AB7" s="5"/>
      <c r="AC7" s="6"/>
      <c r="AF7" s="5"/>
      <c r="AG7" s="5"/>
      <c r="AI7" s="3"/>
    </row>
    <row r="8" spans="1:35">
      <c r="A8" t="s">
        <v>85</v>
      </c>
      <c r="D8" s="1"/>
      <c r="K8" s="3"/>
      <c r="Y8" s="5"/>
      <c r="Z8" s="5"/>
      <c r="AA8" s="5"/>
      <c r="AB8" s="5"/>
      <c r="AC8" s="6"/>
      <c r="AF8" s="5"/>
      <c r="AG8" s="5"/>
      <c r="AI8" s="3"/>
    </row>
    <row r="9" spans="1:35">
      <c r="A9" t="s">
        <v>86</v>
      </c>
      <c r="D9" s="1"/>
      <c r="K9" s="3"/>
      <c r="Y9" s="5"/>
      <c r="Z9" s="5"/>
      <c r="AA9" s="5"/>
      <c r="AB9" s="5"/>
      <c r="AC9" s="6"/>
      <c r="AF9" s="5"/>
      <c r="AG9" s="5"/>
      <c r="AI9" s="3"/>
    </row>
    <row r="10" spans="1:35">
      <c r="A10" t="s">
        <v>87</v>
      </c>
      <c r="D10" s="1"/>
      <c r="K10" s="3"/>
      <c r="Y10" s="5"/>
      <c r="Z10" s="5"/>
      <c r="AA10" s="5"/>
      <c r="AB10" s="5"/>
      <c r="AC10" s="6"/>
      <c r="AF10" s="5"/>
      <c r="AG10" s="5"/>
      <c r="AI10" s="3"/>
    </row>
    <row r="11" spans="1:35">
      <c r="A11" t="s">
        <v>88</v>
      </c>
      <c r="D11" s="1"/>
      <c r="K11" s="3"/>
      <c r="Y11" s="5"/>
      <c r="Z11" s="5"/>
      <c r="AA11" s="5"/>
      <c r="AB11" s="5"/>
      <c r="AC11" s="6"/>
      <c r="AF11" s="5"/>
      <c r="AG11" s="5"/>
      <c r="AI11" s="3"/>
    </row>
    <row r="12" spans="1:35">
      <c r="A12" t="s">
        <v>89</v>
      </c>
      <c r="D12" s="1"/>
      <c r="K12" s="3"/>
      <c r="Y12" s="5"/>
      <c r="Z12" s="5"/>
      <c r="AA12" s="5"/>
      <c r="AB12" s="5"/>
      <c r="AC12" s="6"/>
      <c r="AF12" s="5"/>
      <c r="AG12" s="5"/>
      <c r="AI12" s="3"/>
    </row>
    <row r="13" spans="1:35">
      <c r="A13" t="s">
        <v>90</v>
      </c>
      <c r="D13" s="1"/>
      <c r="K13" s="3"/>
      <c r="Y13" s="5"/>
      <c r="Z13" s="5"/>
      <c r="AA13" s="5"/>
      <c r="AB13" s="5"/>
      <c r="AC13" s="6"/>
      <c r="AF13" s="5"/>
      <c r="AG13" s="5"/>
      <c r="AI13" s="3"/>
    </row>
    <row r="14" spans="1:35">
      <c r="A14" t="s">
        <v>91</v>
      </c>
      <c r="D14" s="1"/>
      <c r="K14" s="3"/>
      <c r="Y14" s="5"/>
      <c r="Z14" s="5"/>
      <c r="AA14" s="5"/>
      <c r="AB14" s="5"/>
      <c r="AC14" s="6"/>
      <c r="AF14" s="5"/>
      <c r="AG14" s="5"/>
      <c r="AI14" s="3"/>
    </row>
    <row r="15" spans="1:35">
      <c r="A15" t="s">
        <v>92</v>
      </c>
      <c r="D15" s="1"/>
      <c r="K15" s="3"/>
      <c r="Y15" s="5"/>
      <c r="Z15" s="5"/>
      <c r="AA15" s="5"/>
      <c r="AB15" s="5"/>
      <c r="AC15" s="6"/>
      <c r="AF15" s="5"/>
      <c r="AG15" s="5"/>
      <c r="AI15" s="3"/>
    </row>
    <row r="16" spans="1:35">
      <c r="A16" t="s">
        <v>93</v>
      </c>
      <c r="D16" s="1"/>
      <c r="K16" s="3"/>
      <c r="Y16" s="5"/>
      <c r="Z16" s="5"/>
      <c r="AA16" s="5"/>
      <c r="AB16" s="5"/>
      <c r="AC16" s="6"/>
      <c r="AF16" s="5"/>
      <c r="AG16" s="5"/>
      <c r="AI16" s="3"/>
    </row>
    <row r="17" spans="1:35">
      <c r="A17" t="s">
        <v>94</v>
      </c>
      <c r="D17" s="1"/>
      <c r="K17" s="3"/>
      <c r="Y17" s="5"/>
      <c r="Z17" s="5"/>
      <c r="AA17" s="5"/>
      <c r="AB17" s="5"/>
      <c r="AC17" s="6"/>
      <c r="AF17" s="5"/>
      <c r="AG17" s="5"/>
      <c r="AI17" s="3"/>
    </row>
    <row r="18" spans="1:35">
      <c r="A18" t="s">
        <v>95</v>
      </c>
      <c r="D18" s="1"/>
      <c r="K18" s="3"/>
      <c r="Y18" s="5"/>
      <c r="Z18" s="5"/>
      <c r="AA18" s="5"/>
      <c r="AB18" s="5"/>
      <c r="AC18" s="6"/>
      <c r="AF18" s="5"/>
      <c r="AG18" s="5"/>
      <c r="AI18" s="3"/>
    </row>
    <row r="19" spans="1:35">
      <c r="A19" t="s">
        <v>96</v>
      </c>
      <c r="D19" s="1"/>
      <c r="K19" s="3"/>
      <c r="Y19" s="5"/>
      <c r="Z19" s="5"/>
      <c r="AA19" s="5"/>
      <c r="AB19" s="5"/>
      <c r="AC19" s="6"/>
      <c r="AF19" s="5"/>
      <c r="AG19" s="5"/>
      <c r="AI19" s="3"/>
    </row>
    <row r="20" spans="1:35">
      <c r="A20" t="s">
        <v>97</v>
      </c>
      <c r="D20" s="1"/>
      <c r="K20" s="3"/>
      <c r="Y20" s="5"/>
      <c r="Z20" s="5"/>
      <c r="AA20" s="5"/>
      <c r="AB20" s="5"/>
      <c r="AC20" s="6"/>
      <c r="AF20" s="5"/>
      <c r="AG20" s="5"/>
      <c r="AI20" s="3"/>
    </row>
    <row r="21" spans="1:35">
      <c r="A21" t="s">
        <v>98</v>
      </c>
      <c r="D21" s="1"/>
      <c r="K21" s="3"/>
      <c r="Y21" s="5"/>
      <c r="Z21" s="5"/>
      <c r="AA21" s="5"/>
      <c r="AB21" s="5"/>
      <c r="AC21" s="6"/>
      <c r="AF21" s="5"/>
      <c r="AG21" s="5"/>
      <c r="AI21" s="3"/>
    </row>
    <row r="22" spans="1:35">
      <c r="A22" t="s">
        <v>99</v>
      </c>
      <c r="D22" s="1"/>
      <c r="K22" s="3"/>
      <c r="Y22" s="5"/>
      <c r="Z22" s="5"/>
      <c r="AA22" s="5"/>
      <c r="AB22" s="5"/>
      <c r="AC22" s="6"/>
      <c r="AF22" s="5"/>
      <c r="AG22" s="5"/>
      <c r="AI22" s="3"/>
    </row>
    <row r="23" spans="1:35">
      <c r="A23" t="s">
        <v>100</v>
      </c>
      <c r="D23" s="1"/>
      <c r="K23" s="3"/>
      <c r="Y23" s="5"/>
      <c r="Z23" s="5"/>
      <c r="AA23" s="5"/>
      <c r="AB23" s="5"/>
      <c r="AC23" s="6"/>
      <c r="AF23" s="5"/>
      <c r="AG23" s="5"/>
      <c r="AI23" s="3"/>
    </row>
    <row r="24" spans="1:35">
      <c r="A24" t="s">
        <v>101</v>
      </c>
      <c r="D24" s="1"/>
      <c r="K24" s="3"/>
      <c r="Y24" s="5"/>
      <c r="Z24" s="5"/>
      <c r="AA24" s="5"/>
      <c r="AB24" s="5"/>
      <c r="AC24" s="6"/>
      <c r="AF24" s="5"/>
      <c r="AG24" s="5"/>
      <c r="AI24" s="3"/>
    </row>
    <row r="25" spans="1:35">
      <c r="A25" t="s">
        <v>102</v>
      </c>
      <c r="D25" s="1"/>
      <c r="K25" s="3"/>
      <c r="Y25" s="5"/>
      <c r="Z25" s="5"/>
      <c r="AA25" s="5"/>
      <c r="AB25" s="5"/>
      <c r="AC25" s="6"/>
      <c r="AF25" s="5"/>
      <c r="AG25" s="5"/>
      <c r="AI25" s="3"/>
    </row>
    <row r="26" spans="1:35">
      <c r="A26" t="s">
        <v>103</v>
      </c>
      <c r="D26" s="1"/>
      <c r="K26" s="3"/>
      <c r="Y26" s="5"/>
      <c r="Z26" s="5"/>
      <c r="AA26" s="5"/>
      <c r="AB26" s="5"/>
      <c r="AC26" s="6"/>
      <c r="AF26" s="5"/>
      <c r="AG26" s="5"/>
      <c r="AI26" s="3"/>
    </row>
    <row r="27" spans="1:35">
      <c r="A27" t="s">
        <v>104</v>
      </c>
      <c r="D27" s="1"/>
      <c r="K27" s="3"/>
      <c r="Y27" s="5"/>
      <c r="Z27" s="5"/>
      <c r="AA27" s="5"/>
      <c r="AB27" s="5"/>
      <c r="AC27" s="6"/>
      <c r="AF27" s="5"/>
      <c r="AG27" s="5"/>
      <c r="AI27" s="3"/>
    </row>
    <row r="28" spans="1:35">
      <c r="A28" t="s">
        <v>105</v>
      </c>
      <c r="D28" s="1"/>
      <c r="K28" s="3"/>
      <c r="Y28" s="5"/>
      <c r="Z28" s="5"/>
      <c r="AA28" s="5"/>
      <c r="AB28" s="5"/>
      <c r="AC28" s="6"/>
      <c r="AF28" s="5"/>
      <c r="AG28" s="5"/>
      <c r="AI28" s="3"/>
    </row>
    <row r="29" spans="1:35">
      <c r="A29" t="s">
        <v>106</v>
      </c>
      <c r="D29" s="1"/>
      <c r="K29" s="3"/>
      <c r="Y29" s="5"/>
      <c r="Z29" s="5"/>
      <c r="AA29" s="5"/>
      <c r="AB29" s="5"/>
      <c r="AC29" s="6"/>
      <c r="AF29" s="5"/>
      <c r="AG29" s="5"/>
      <c r="AI29" s="3"/>
    </row>
    <row r="30" spans="1:35">
      <c r="A30" t="s">
        <v>107</v>
      </c>
      <c r="D30" s="1"/>
      <c r="K30" s="3"/>
      <c r="Y30" s="5"/>
      <c r="Z30" s="5"/>
      <c r="AA30" s="5"/>
      <c r="AB30" s="5"/>
      <c r="AC30" s="6"/>
      <c r="AF30" s="5"/>
      <c r="AG30" s="5"/>
      <c r="AI30" s="3"/>
    </row>
    <row r="31" spans="1:35">
      <c r="A31" t="s">
        <v>108</v>
      </c>
      <c r="D31" s="1"/>
      <c r="K31" s="3"/>
      <c r="Y31" s="5"/>
      <c r="Z31" s="5"/>
      <c r="AA31" s="5"/>
      <c r="AB31" s="5"/>
      <c r="AC31" s="6"/>
      <c r="AF31" s="5"/>
      <c r="AG31" s="5"/>
      <c r="AI31" s="3"/>
    </row>
    <row r="32" spans="1:35">
      <c r="A32" t="s">
        <v>109</v>
      </c>
      <c r="D32" s="1"/>
      <c r="K32" s="3"/>
      <c r="Y32" s="5"/>
      <c r="Z32" s="5"/>
      <c r="AA32" s="5"/>
      <c r="AB32" s="5"/>
      <c r="AC32" s="6"/>
      <c r="AF32" s="5"/>
      <c r="AG32" s="5"/>
      <c r="AI32" s="3"/>
    </row>
    <row r="33" spans="1:35">
      <c r="A33" t="s">
        <v>110</v>
      </c>
      <c r="D33" s="1"/>
      <c r="K33" s="3"/>
      <c r="Y33" s="5"/>
      <c r="Z33" s="5"/>
      <c r="AA33" s="5"/>
      <c r="AB33" s="5"/>
      <c r="AC33" s="6"/>
      <c r="AF33" s="5"/>
      <c r="AG33" s="5"/>
      <c r="AI33" s="3"/>
    </row>
    <row r="34" spans="1:35">
      <c r="A34" t="s">
        <v>111</v>
      </c>
      <c r="D34" s="1"/>
      <c r="K34" s="3"/>
      <c r="Y34" s="5"/>
      <c r="Z34" s="5"/>
      <c r="AA34" s="5"/>
      <c r="AB34" s="5"/>
      <c r="AC34" s="6"/>
      <c r="AF34" s="5"/>
      <c r="AG34" s="5"/>
      <c r="AI34" s="3"/>
    </row>
    <row r="35" spans="1:35">
      <c r="A35" t="s">
        <v>112</v>
      </c>
      <c r="D35" s="1"/>
      <c r="K35" s="3"/>
      <c r="Y35" s="5"/>
      <c r="Z35" s="5"/>
      <c r="AA35" s="5"/>
      <c r="AB35" s="5"/>
      <c r="AC35" s="6"/>
      <c r="AF35" s="5"/>
      <c r="AG35" s="5"/>
      <c r="AI35" s="3"/>
    </row>
    <row r="36" spans="1:35">
      <c r="A36" t="s">
        <v>113</v>
      </c>
      <c r="D36" s="1"/>
      <c r="K36" s="3"/>
      <c r="Y36" s="5"/>
      <c r="Z36" s="5"/>
      <c r="AA36" s="5"/>
      <c r="AB36" s="5"/>
      <c r="AC36" s="6"/>
      <c r="AF36" s="5"/>
      <c r="AG36" s="5"/>
      <c r="AI36" s="3"/>
    </row>
    <row r="37" spans="1:35">
      <c r="A37" t="s">
        <v>114</v>
      </c>
      <c r="D37" s="1"/>
      <c r="K37" s="3"/>
      <c r="Y37" s="5"/>
      <c r="Z37" s="5"/>
      <c r="AA37" s="5"/>
      <c r="AB37" s="5"/>
      <c r="AC37" s="6"/>
      <c r="AF37" s="5"/>
      <c r="AG37" s="5"/>
      <c r="AI37" s="3"/>
    </row>
    <row r="38" spans="1:35">
      <c r="A38" t="s">
        <v>115</v>
      </c>
      <c r="D38" s="1"/>
      <c r="E38" s="2"/>
      <c r="K38" s="3"/>
      <c r="S38" s="4"/>
      <c r="T38" s="4"/>
      <c r="U38" s="4"/>
      <c r="Y38" s="5"/>
      <c r="Z38" s="5"/>
      <c r="AA38" s="5"/>
      <c r="AB38" s="5"/>
      <c r="AC38" s="6"/>
      <c r="AF38" s="5"/>
      <c r="AG38" s="5"/>
      <c r="AH38" s="5"/>
      <c r="AI38" s="3"/>
    </row>
    <row r="39" spans="1:35">
      <c r="A39" t="s">
        <v>116</v>
      </c>
      <c r="D39" s="1"/>
      <c r="K39" s="3"/>
      <c r="Y39" s="5"/>
      <c r="Z39" s="5"/>
      <c r="AA39" s="5"/>
      <c r="AB39" s="5"/>
      <c r="AC39" s="6"/>
      <c r="AF39" s="5"/>
      <c r="AG39" s="5"/>
      <c r="AI39" s="3"/>
    </row>
    <row r="40" spans="1:35">
      <c r="A40" t="s">
        <v>117</v>
      </c>
      <c r="D40" s="1"/>
      <c r="K40" s="3"/>
      <c r="Y40" s="5"/>
      <c r="Z40" s="5"/>
      <c r="AA40" s="5"/>
      <c r="AB40" s="5"/>
      <c r="AC40" s="6"/>
      <c r="AF40" s="5"/>
      <c r="AG40" s="5"/>
      <c r="AI40" s="3"/>
    </row>
    <row r="41" spans="1:35">
      <c r="A41" t="s">
        <v>118</v>
      </c>
      <c r="D41" s="1"/>
      <c r="K41" s="3"/>
      <c r="Y41" s="5"/>
      <c r="Z41" s="5"/>
      <c r="AA41" s="5"/>
      <c r="AB41" s="5"/>
      <c r="AC41" s="6"/>
      <c r="AF41" s="5"/>
      <c r="AG41" s="5"/>
      <c r="AI41" s="3"/>
    </row>
    <row r="42" spans="1:35">
      <c r="A42" t="s">
        <v>119</v>
      </c>
      <c r="D42" s="1"/>
      <c r="K42" s="3"/>
      <c r="Y42" s="5"/>
      <c r="Z42" s="5"/>
      <c r="AA42" s="5"/>
      <c r="AB42" s="5"/>
      <c r="AC42" s="6"/>
      <c r="AF42" s="5"/>
      <c r="AG42" s="5"/>
      <c r="AI42" s="3"/>
    </row>
    <row r="43" spans="1:35">
      <c r="A43" t="s">
        <v>120</v>
      </c>
      <c r="D43" s="1"/>
      <c r="K43" s="3"/>
      <c r="Y43" s="5"/>
      <c r="Z43" s="5"/>
      <c r="AA43" s="5"/>
      <c r="AB43" s="5"/>
      <c r="AC43" s="6"/>
      <c r="AF43" s="5"/>
      <c r="AG43" s="5"/>
      <c r="AI43" s="3"/>
    </row>
    <row r="44" spans="1:35">
      <c r="A44" t="s">
        <v>121</v>
      </c>
      <c r="D44" s="1"/>
      <c r="K44" s="3"/>
      <c r="Y44" s="5"/>
      <c r="Z44" s="5"/>
      <c r="AA44" s="5"/>
      <c r="AB44" s="5"/>
      <c r="AC44" s="6"/>
      <c r="AF44" s="5"/>
      <c r="AG44" s="5"/>
      <c r="AI44" s="3"/>
    </row>
    <row r="45" spans="1:35">
      <c r="A45" t="s">
        <v>122</v>
      </c>
      <c r="D45" s="1"/>
      <c r="K45" s="3"/>
      <c r="Y45" s="5"/>
      <c r="Z45" s="5"/>
      <c r="AA45" s="5"/>
      <c r="AB45" s="5"/>
      <c r="AC45" s="6"/>
      <c r="AF45" s="5"/>
      <c r="AG45" s="5"/>
      <c r="AI45" s="3"/>
    </row>
    <row r="46" spans="1:35">
      <c r="A46" t="s">
        <v>123</v>
      </c>
      <c r="D46" s="1"/>
      <c r="K46" s="3"/>
      <c r="Y46" s="5"/>
      <c r="Z46" s="5"/>
      <c r="AA46" s="5"/>
      <c r="AB46" s="5"/>
      <c r="AC46" s="6"/>
      <c r="AF46" s="5"/>
      <c r="AG46" s="5"/>
      <c r="AI46" s="3"/>
    </row>
    <row r="47" spans="1:35">
      <c r="A47" t="s">
        <v>124</v>
      </c>
      <c r="D47" s="1"/>
      <c r="K47" s="3"/>
      <c r="Y47" s="5"/>
      <c r="Z47" s="5"/>
      <c r="AA47" s="5"/>
      <c r="AB47" s="5"/>
      <c r="AC47" s="6"/>
      <c r="AF47" s="5"/>
      <c r="AG47" s="5"/>
      <c r="AI47" s="3"/>
    </row>
    <row r="48" spans="1:35">
      <c r="A48" t="s">
        <v>125</v>
      </c>
      <c r="D48" s="1"/>
      <c r="K48" s="3"/>
      <c r="Y48" s="5"/>
      <c r="Z48" s="5"/>
      <c r="AA48" s="5"/>
      <c r="AB48" s="5"/>
      <c r="AC48" s="6"/>
      <c r="AF48" s="5"/>
      <c r="AG48" s="5"/>
      <c r="AI48" s="3"/>
    </row>
    <row r="49" spans="1:35">
      <c r="A49" t="s">
        <v>126</v>
      </c>
      <c r="D49" s="1"/>
      <c r="K49" s="3"/>
      <c r="Y49" s="5"/>
      <c r="Z49" s="5"/>
      <c r="AA49" s="5"/>
      <c r="AB49" s="5"/>
      <c r="AC49" s="6"/>
      <c r="AF49" s="5"/>
      <c r="AG49" s="5"/>
      <c r="AI49" s="3"/>
    </row>
    <row r="50" spans="1:35">
      <c r="A50" t="s">
        <v>127</v>
      </c>
      <c r="D50" s="1"/>
      <c r="K50" s="3"/>
      <c r="Y50" s="5"/>
      <c r="Z50" s="5"/>
      <c r="AA50" s="5"/>
      <c r="AB50" s="5"/>
      <c r="AC50" s="6"/>
      <c r="AF50" s="5"/>
      <c r="AG50" s="5"/>
      <c r="AI50" s="3"/>
    </row>
    <row r="51" spans="1:35">
      <c r="A51" t="s">
        <v>128</v>
      </c>
      <c r="D51" s="1"/>
      <c r="K51" s="3"/>
      <c r="Y51" s="5"/>
      <c r="Z51" s="5"/>
      <c r="AA51" s="5"/>
      <c r="AB51" s="5"/>
      <c r="AC51" s="6"/>
      <c r="AF51" s="5"/>
      <c r="AG51" s="5"/>
      <c r="AI51" s="3"/>
    </row>
    <row r="52" spans="1:35">
      <c r="A52" t="s">
        <v>129</v>
      </c>
      <c r="D52" s="1"/>
      <c r="K52" s="3"/>
      <c r="Y52" s="5"/>
      <c r="Z52" s="5"/>
      <c r="AA52" s="5"/>
      <c r="AB52" s="5"/>
      <c r="AC52" s="6"/>
      <c r="AF52" s="5"/>
      <c r="AG52" s="5"/>
      <c r="AI52" s="3"/>
    </row>
    <row r="53" spans="1:35">
      <c r="A53" t="s">
        <v>130</v>
      </c>
      <c r="D53" s="1"/>
      <c r="K53" s="3"/>
      <c r="Y53" s="5"/>
      <c r="Z53" s="5"/>
      <c r="AA53" s="5"/>
      <c r="AB53" s="5"/>
      <c r="AC53" s="6"/>
      <c r="AF53" s="5"/>
      <c r="AG53" s="5"/>
      <c r="AI53" s="3"/>
    </row>
    <row r="54" spans="1:35">
      <c r="A54" t="s">
        <v>131</v>
      </c>
      <c r="D54" s="1"/>
      <c r="K54" s="3"/>
      <c r="Y54" s="5"/>
      <c r="Z54" s="5"/>
      <c r="AA54" s="5"/>
      <c r="AB54" s="5"/>
      <c r="AC54" s="6"/>
      <c r="AF54" s="5"/>
      <c r="AG54" s="5"/>
      <c r="AI54" s="3"/>
    </row>
    <row r="55" spans="1:35">
      <c r="A55" t="s">
        <v>132</v>
      </c>
      <c r="D55" s="1"/>
      <c r="K55" s="3"/>
      <c r="Y55" s="5"/>
      <c r="Z55" s="5"/>
      <c r="AA55" s="5"/>
      <c r="AB55" s="5"/>
      <c r="AC55" s="6"/>
      <c r="AF55" s="5"/>
      <c r="AG55" s="5"/>
      <c r="AI55" s="3"/>
    </row>
    <row r="56" spans="1:35">
      <c r="A56" t="s">
        <v>133</v>
      </c>
      <c r="D56" s="1"/>
      <c r="K56" s="3"/>
      <c r="Y56" s="5"/>
      <c r="Z56" s="5"/>
      <c r="AA56" s="5"/>
      <c r="AB56" s="5"/>
      <c r="AC56" s="6"/>
      <c r="AF56" s="5"/>
      <c r="AG56" s="5"/>
      <c r="AI56" s="3"/>
    </row>
    <row r="57" spans="1:35">
      <c r="A57" t="s">
        <v>134</v>
      </c>
      <c r="D57" s="1"/>
      <c r="K57" s="3"/>
      <c r="Y57" s="5"/>
      <c r="Z57" s="5"/>
      <c r="AA57" s="5"/>
      <c r="AB57" s="5"/>
      <c r="AC57" s="6"/>
      <c r="AF57" s="5"/>
      <c r="AG57" s="5"/>
      <c r="AI57" s="3"/>
    </row>
    <row r="58" spans="1:35">
      <c r="A58" t="s">
        <v>135</v>
      </c>
      <c r="D58" s="1"/>
      <c r="K58" s="3"/>
      <c r="Y58" s="5"/>
      <c r="Z58" s="5"/>
      <c r="AA58" s="5"/>
      <c r="AB58" s="5"/>
      <c r="AC58" s="6"/>
      <c r="AF58" s="5"/>
      <c r="AG58" s="5"/>
      <c r="AI58" s="3"/>
    </row>
    <row r="59" spans="1:35">
      <c r="A59" t="s">
        <v>136</v>
      </c>
      <c r="D59" s="1"/>
      <c r="K59" s="3"/>
      <c r="Y59" s="5"/>
      <c r="Z59" s="5"/>
      <c r="AA59" s="5"/>
      <c r="AB59" s="5"/>
      <c r="AC59" s="6"/>
      <c r="AF59" s="5"/>
      <c r="AG59" s="5"/>
      <c r="AI59" s="3"/>
    </row>
    <row r="60" spans="1:35">
      <c r="A60" t="s">
        <v>137</v>
      </c>
      <c r="D60" s="1"/>
      <c r="K60" s="3"/>
      <c r="Y60" s="5"/>
      <c r="Z60" s="5"/>
      <c r="AA60" s="5"/>
      <c r="AB60" s="5"/>
      <c r="AC60" s="6"/>
      <c r="AF60" s="5"/>
      <c r="AG60" s="5"/>
      <c r="AI60" s="3"/>
    </row>
    <row r="61" spans="1:35">
      <c r="A61" t="s">
        <v>138</v>
      </c>
      <c r="D61" s="1"/>
      <c r="K61" s="3"/>
      <c r="Y61" s="5"/>
      <c r="Z61" s="5"/>
      <c r="AA61" s="5"/>
      <c r="AB61" s="5"/>
      <c r="AC61" s="6"/>
      <c r="AF61" s="5"/>
      <c r="AG61" s="5"/>
      <c r="AI61" s="3"/>
    </row>
    <row r="62" spans="1:35">
      <c r="A62" t="s">
        <v>139</v>
      </c>
      <c r="D62" s="1"/>
      <c r="K62" s="3"/>
      <c r="Y62" s="5"/>
      <c r="Z62" s="5"/>
      <c r="AA62" s="5"/>
      <c r="AB62" s="5"/>
      <c r="AC62" s="6"/>
      <c r="AF62" s="5"/>
      <c r="AG62" s="5"/>
      <c r="AI62" s="3"/>
    </row>
    <row r="63" spans="1:35">
      <c r="A63" t="s">
        <v>140</v>
      </c>
      <c r="D63" s="1"/>
      <c r="K63" s="3"/>
      <c r="Y63" s="5"/>
      <c r="Z63" s="5"/>
      <c r="AA63" s="5"/>
      <c r="AB63" s="5"/>
      <c r="AC63" s="6"/>
      <c r="AF63" s="5"/>
      <c r="AG63" s="5"/>
      <c r="AI63" s="3"/>
    </row>
    <row r="64" spans="1:35">
      <c r="A64" t="s">
        <v>141</v>
      </c>
      <c r="D64" s="1"/>
      <c r="K64" s="3"/>
      <c r="Y64" s="5"/>
      <c r="Z64" s="5"/>
      <c r="AA64" s="5"/>
      <c r="AB64" s="5"/>
      <c r="AC64" s="6"/>
      <c r="AF64" s="5"/>
      <c r="AG64" s="5"/>
      <c r="AI64" s="3"/>
    </row>
    <row r="65" spans="1:35">
      <c r="A65" t="s">
        <v>142</v>
      </c>
      <c r="D65" s="1"/>
      <c r="K65" s="3"/>
      <c r="Y65" s="5"/>
      <c r="Z65" s="5"/>
      <c r="AA65" s="5"/>
      <c r="AB65" s="5"/>
      <c r="AC65" s="6"/>
      <c r="AF65" s="5"/>
      <c r="AG65" s="5"/>
      <c r="AI65" s="3"/>
    </row>
    <row r="66" spans="1:35">
      <c r="A66" t="s">
        <v>143</v>
      </c>
      <c r="D66" s="1"/>
      <c r="K66" s="3"/>
      <c r="Y66" s="5"/>
      <c r="Z66" s="5"/>
      <c r="AA66" s="5"/>
      <c r="AB66" s="5"/>
      <c r="AC66" s="6"/>
      <c r="AF66" s="5"/>
      <c r="AG66" s="5"/>
      <c r="AI66" s="3"/>
    </row>
    <row r="67" spans="1:35">
      <c r="A67" t="s">
        <v>144</v>
      </c>
      <c r="D67" s="1"/>
      <c r="K67" s="3"/>
      <c r="Y67" s="5"/>
      <c r="Z67" s="5"/>
      <c r="AA67" s="5"/>
      <c r="AB67" s="5"/>
      <c r="AC67" s="6"/>
      <c r="AF67" s="5"/>
      <c r="AG67" s="5"/>
      <c r="AI67" s="3"/>
    </row>
    <row r="68" spans="1:35">
      <c r="A68" t="s">
        <v>145</v>
      </c>
      <c r="D68" s="1"/>
      <c r="K68" s="3"/>
      <c r="Y68" s="5"/>
      <c r="Z68" s="5"/>
      <c r="AA68" s="5"/>
      <c r="AB68" s="5"/>
      <c r="AC68" s="6"/>
      <c r="AF68" s="5"/>
      <c r="AG68" s="5"/>
      <c r="AI68" s="3"/>
    </row>
    <row r="69" spans="1:35">
      <c r="A69" t="s">
        <v>146</v>
      </c>
      <c r="D69" s="1"/>
      <c r="K69" s="3"/>
      <c r="Y69" s="5"/>
      <c r="Z69" s="5"/>
      <c r="AA69" s="5"/>
      <c r="AB69" s="5"/>
      <c r="AC69" s="6"/>
      <c r="AF69" s="5"/>
      <c r="AG69" s="5"/>
      <c r="AI69" s="3"/>
    </row>
    <row r="70" spans="1:35">
      <c r="A70" t="s">
        <v>147</v>
      </c>
      <c r="D70" s="1"/>
      <c r="K70" s="3"/>
      <c r="Y70" s="5"/>
      <c r="Z70" s="5"/>
      <c r="AA70" s="5"/>
      <c r="AB70" s="5"/>
      <c r="AC70" s="6"/>
      <c r="AF70" s="5"/>
      <c r="AG70" s="5"/>
      <c r="AI70" s="3"/>
    </row>
    <row r="71" spans="1:35">
      <c r="A71" t="s">
        <v>148</v>
      </c>
      <c r="D71" s="1"/>
      <c r="K71" s="3"/>
      <c r="Y71" s="5"/>
      <c r="Z71" s="5"/>
      <c r="AA71" s="5"/>
      <c r="AB71" s="5"/>
      <c r="AC71" s="6"/>
      <c r="AF71" s="5"/>
      <c r="AG71" s="5"/>
      <c r="AI71" s="3"/>
    </row>
    <row r="72" spans="1:35">
      <c r="A72" t="s">
        <v>149</v>
      </c>
      <c r="D72" s="1"/>
      <c r="K72" s="3"/>
      <c r="Y72" s="5"/>
      <c r="Z72" s="5"/>
      <c r="AA72" s="5"/>
      <c r="AB72" s="5"/>
      <c r="AC72" s="6"/>
      <c r="AF72" s="5"/>
      <c r="AG72" s="5"/>
      <c r="AI72" s="3"/>
    </row>
    <row r="73" spans="1:35">
      <c r="A73" t="s">
        <v>150</v>
      </c>
      <c r="D73" s="1"/>
      <c r="K73" s="3"/>
      <c r="Y73" s="5"/>
      <c r="Z73" s="5"/>
      <c r="AA73" s="5"/>
      <c r="AB73" s="5"/>
      <c r="AC73" s="6"/>
      <c r="AF73" s="5"/>
      <c r="AG73" s="5"/>
      <c r="AI73" s="3"/>
    </row>
    <row r="74" spans="1:35">
      <c r="A74" t="s">
        <v>151</v>
      </c>
      <c r="D74" s="1"/>
      <c r="K74" s="3"/>
      <c r="Y74" s="5"/>
      <c r="Z74" s="5"/>
      <c r="AA74" s="5"/>
      <c r="AB74" s="5"/>
      <c r="AC74" s="6"/>
      <c r="AF74" s="5"/>
      <c r="AG74" s="5"/>
      <c r="AI74" s="3"/>
    </row>
    <row r="75" spans="1:35">
      <c r="A75" t="s">
        <v>152</v>
      </c>
      <c r="D75" s="1"/>
      <c r="E75" s="2"/>
      <c r="K75" s="3"/>
      <c r="Y75" s="5"/>
      <c r="Z75" s="5"/>
      <c r="AA75" s="5"/>
      <c r="AB75" s="5"/>
      <c r="AC75" s="6"/>
      <c r="AF75" s="5"/>
      <c r="AG75" s="5"/>
      <c r="AI75" s="3"/>
    </row>
    <row r="76" spans="1:35">
      <c r="A76" t="s">
        <v>153</v>
      </c>
      <c r="D76" s="1"/>
      <c r="K76" s="3"/>
      <c r="Y76" s="5"/>
      <c r="Z76" s="5"/>
      <c r="AA76" s="5"/>
      <c r="AB76" s="5"/>
      <c r="AC76" s="6"/>
      <c r="AF76" s="5"/>
      <c r="AG76" s="5"/>
      <c r="AI76" s="3"/>
    </row>
    <row r="77" spans="1:35">
      <c r="D77" s="1"/>
      <c r="K77" s="3"/>
      <c r="Y77" s="5"/>
      <c r="Z77" s="5"/>
      <c r="AA77" s="5"/>
      <c r="AB77" s="5"/>
      <c r="AC77" s="6"/>
      <c r="AF77" s="5"/>
      <c r="AG77" s="5"/>
      <c r="AI77" s="3"/>
    </row>
    <row r="78" spans="1:35">
      <c r="D78" s="1"/>
      <c r="K78" s="3"/>
      <c r="Y78" s="5"/>
      <c r="Z78" s="5"/>
      <c r="AA78" s="5"/>
      <c r="AB78" s="5"/>
      <c r="AC78" s="6"/>
      <c r="AF78" s="5"/>
      <c r="AG78" s="5"/>
      <c r="AI78" s="3"/>
    </row>
    <row r="79" spans="1:35">
      <c r="D79" s="1"/>
      <c r="K79" s="3"/>
      <c r="Y79" s="5"/>
      <c r="Z79" s="5"/>
      <c r="AA79" s="5"/>
      <c r="AB79" s="5"/>
      <c r="AC79" s="6"/>
      <c r="AF79" s="5"/>
      <c r="AG79" s="5"/>
      <c r="AI79" s="3"/>
    </row>
    <row r="80" spans="1:35">
      <c r="D80" s="1"/>
      <c r="K80" s="3"/>
      <c r="Y80" s="5"/>
      <c r="Z80" s="5"/>
      <c r="AA80" s="5"/>
      <c r="AB80" s="5"/>
      <c r="AC80" s="6"/>
      <c r="AF80" s="5"/>
      <c r="AG80" s="5"/>
      <c r="AI80" s="3"/>
    </row>
    <row r="81" spans="4:35">
      <c r="D81" s="1"/>
      <c r="K81" s="3"/>
      <c r="Y81" s="5"/>
      <c r="Z81" s="5"/>
      <c r="AA81" s="5"/>
      <c r="AB81" s="5"/>
      <c r="AC81" s="6"/>
      <c r="AF81" s="5"/>
      <c r="AG81" s="5"/>
      <c r="AI81" s="3"/>
    </row>
    <row r="82" spans="4:35">
      <c r="D82" s="1"/>
      <c r="K82" s="3"/>
      <c r="Y82" s="5"/>
      <c r="Z82" s="5"/>
      <c r="AA82" s="5"/>
      <c r="AB82" s="5"/>
      <c r="AC82" s="6"/>
      <c r="AF82" s="5"/>
      <c r="AG82" s="5"/>
      <c r="AI82" s="3"/>
    </row>
    <row r="83" spans="4:35">
      <c r="D83" s="1"/>
      <c r="K83" s="3"/>
      <c r="Y83" s="5"/>
      <c r="Z83" s="5"/>
      <c r="AA83" s="5"/>
      <c r="AB83" s="5"/>
      <c r="AC83" s="6"/>
      <c r="AF83" s="5"/>
      <c r="AG83" s="5"/>
      <c r="AI83" s="3"/>
    </row>
    <row r="84" spans="4:35">
      <c r="D84" s="1"/>
      <c r="K84" s="3"/>
      <c r="Y84" s="5"/>
      <c r="Z84" s="5"/>
      <c r="AA84" s="5"/>
      <c r="AB84" s="5"/>
      <c r="AC84" s="6"/>
      <c r="AF84" s="5"/>
      <c r="AG84" s="5"/>
      <c r="AI84" s="3"/>
    </row>
    <row r="85" spans="4:35">
      <c r="D85" s="1"/>
      <c r="K85" s="3"/>
      <c r="Y85" s="5"/>
      <c r="Z85" s="5"/>
      <c r="AA85" s="5"/>
      <c r="AB85" s="5"/>
      <c r="AC85" s="6"/>
      <c r="AF85" s="5"/>
      <c r="AG85" s="5"/>
      <c r="AI85" s="3"/>
    </row>
    <row r="86" spans="4:35">
      <c r="D86" s="1"/>
      <c r="K86" s="3"/>
      <c r="Y86" s="5"/>
      <c r="Z86" s="5"/>
      <c r="AA86" s="5"/>
      <c r="AB86" s="5"/>
      <c r="AC86" s="6"/>
      <c r="AF86" s="5"/>
      <c r="AG86" s="5"/>
      <c r="AI86" s="3"/>
    </row>
    <row r="87" spans="4:35">
      <c r="D87" s="1"/>
      <c r="K87" s="3"/>
      <c r="Y87" s="5"/>
      <c r="Z87" s="5"/>
      <c r="AA87" s="5"/>
      <c r="AB87" s="5"/>
      <c r="AC87" s="6"/>
      <c r="AF87" s="5"/>
      <c r="AG87" s="5"/>
      <c r="AI87" s="3"/>
    </row>
    <row r="88" spans="4:35">
      <c r="D88" s="1"/>
      <c r="K88" s="3"/>
      <c r="Y88" s="5"/>
      <c r="Z88" s="5"/>
      <c r="AA88" s="5"/>
      <c r="AB88" s="5"/>
      <c r="AC88" s="6"/>
      <c r="AF88" s="5"/>
      <c r="AG88" s="5"/>
      <c r="AI88" s="3"/>
    </row>
    <row r="89" spans="4:35">
      <c r="D89" s="1"/>
      <c r="K89" s="3"/>
      <c r="Y89" s="5"/>
      <c r="Z89" s="5"/>
      <c r="AA89" s="5"/>
      <c r="AB89" s="5"/>
      <c r="AC89" s="6"/>
      <c r="AF89" s="5"/>
      <c r="AG89" s="5"/>
      <c r="AI89" s="3"/>
    </row>
    <row r="90" spans="4:35">
      <c r="D90" s="1"/>
      <c r="K90" s="3"/>
      <c r="Y90" s="5"/>
      <c r="Z90" s="5"/>
      <c r="AA90" s="5"/>
      <c r="AB90" s="5"/>
      <c r="AC90" s="6"/>
      <c r="AF90" s="5"/>
      <c r="AG90" s="5"/>
      <c r="AI90" s="3"/>
    </row>
    <row r="91" spans="4:35">
      <c r="D91" s="1"/>
      <c r="K91" s="3"/>
      <c r="Y91" s="5"/>
      <c r="Z91" s="5"/>
      <c r="AA91" s="5"/>
      <c r="AB91" s="5"/>
      <c r="AC91" s="6"/>
      <c r="AF91" s="5"/>
      <c r="AG91" s="5"/>
      <c r="AI91" s="3"/>
    </row>
    <row r="92" spans="4:35">
      <c r="D92" s="1"/>
      <c r="K92" s="3"/>
      <c r="Y92" s="5"/>
      <c r="Z92" s="5"/>
      <c r="AA92" s="5"/>
      <c r="AB92" s="5"/>
      <c r="AC92" s="6"/>
      <c r="AF92" s="5"/>
      <c r="AG92" s="5"/>
      <c r="AI92" s="3"/>
    </row>
    <row r="93" spans="4:35">
      <c r="D93" s="1"/>
      <c r="K93" s="3"/>
      <c r="Y93" s="5"/>
      <c r="Z93" s="5"/>
      <c r="AA93" s="5"/>
      <c r="AB93" s="5"/>
      <c r="AC93" s="6"/>
      <c r="AF93" s="5"/>
      <c r="AG93" s="5"/>
      <c r="AI93" s="3"/>
    </row>
    <row r="94" spans="4:35">
      <c r="D94" s="1"/>
      <c r="K94" s="3"/>
      <c r="Y94" s="5"/>
      <c r="Z94" s="5"/>
      <c r="AA94" s="5"/>
      <c r="AB94" s="5"/>
      <c r="AC94" s="6"/>
      <c r="AF94" s="5"/>
      <c r="AG94" s="5"/>
      <c r="AI94" s="3"/>
    </row>
    <row r="95" spans="4:35">
      <c r="D95" s="1"/>
      <c r="K95" s="3"/>
      <c r="Y95" s="5"/>
      <c r="Z95" s="5"/>
      <c r="AA95" s="5"/>
      <c r="AB95" s="5"/>
      <c r="AC95" s="6"/>
      <c r="AF95" s="5"/>
      <c r="AG95" s="5"/>
      <c r="AI95" s="3"/>
    </row>
    <row r="96" spans="4:35">
      <c r="D96" s="1"/>
      <c r="K96" s="3"/>
      <c r="Y96" s="5"/>
      <c r="Z96" s="5"/>
      <c r="AA96" s="5"/>
      <c r="AB96" s="5"/>
      <c r="AC96" s="6"/>
      <c r="AF96" s="5"/>
      <c r="AG96" s="5"/>
      <c r="AI96" s="3"/>
    </row>
    <row r="97" spans="4:35">
      <c r="D97" s="1"/>
      <c r="K97" s="3"/>
      <c r="Y97" s="5"/>
      <c r="Z97" s="5"/>
      <c r="AA97" s="5"/>
      <c r="AB97" s="5"/>
      <c r="AC97" s="6"/>
      <c r="AF97" s="5"/>
      <c r="AG97" s="5"/>
      <c r="AI97" s="3"/>
    </row>
    <row r="98" spans="4:35">
      <c r="D98" s="1"/>
      <c r="K98" s="3"/>
      <c r="Y98" s="5"/>
      <c r="Z98" s="5"/>
      <c r="AA98" s="5"/>
      <c r="AB98" s="5"/>
      <c r="AC98" s="6"/>
      <c r="AF98" s="5"/>
      <c r="AG98" s="5"/>
      <c r="AI98" s="3"/>
    </row>
    <row r="99" spans="4:35">
      <c r="D99" s="1"/>
      <c r="K99" s="3"/>
      <c r="Y99" s="5"/>
      <c r="Z99" s="5"/>
      <c r="AA99" s="5"/>
      <c r="AB99" s="5"/>
      <c r="AC99" s="6"/>
      <c r="AF99" s="5"/>
      <c r="AG99" s="5"/>
      <c r="AI99" s="3"/>
    </row>
    <row r="100" spans="4:35">
      <c r="D100" s="1"/>
      <c r="K100" s="3"/>
      <c r="Y100" s="5"/>
      <c r="Z100" s="5"/>
      <c r="AA100" s="5"/>
      <c r="AB100" s="5"/>
      <c r="AC100" s="6"/>
      <c r="AF100" s="5"/>
      <c r="AG100" s="5"/>
      <c r="AI100" s="3"/>
    </row>
    <row r="101" spans="4:35">
      <c r="D101" s="1"/>
      <c r="K101" s="3"/>
      <c r="Y101" s="5"/>
      <c r="Z101" s="5"/>
      <c r="AA101" s="5"/>
      <c r="AB101" s="5"/>
      <c r="AC101" s="6"/>
      <c r="AF101" s="5"/>
      <c r="AG101" s="5"/>
      <c r="AI101" s="3"/>
    </row>
    <row r="102" spans="4:35">
      <c r="D102" s="1"/>
      <c r="K102" s="3"/>
      <c r="Y102" s="5"/>
      <c r="Z102" s="5"/>
      <c r="AA102" s="5"/>
      <c r="AB102" s="5"/>
      <c r="AC102" s="6"/>
      <c r="AF102" s="5"/>
      <c r="AG102" s="5"/>
      <c r="AI102" s="3"/>
    </row>
    <row r="103" spans="4:35">
      <c r="D103" s="1"/>
      <c r="K103" s="3"/>
      <c r="Y103" s="5"/>
      <c r="Z103" s="5"/>
      <c r="AA103" s="5"/>
      <c r="AB103" s="5"/>
      <c r="AC103" s="6"/>
      <c r="AF103" s="5"/>
      <c r="AG103" s="5"/>
      <c r="AI103" s="3"/>
    </row>
    <row r="104" spans="4:35">
      <c r="D104" s="1"/>
      <c r="K104" s="3"/>
      <c r="Y104" s="5"/>
      <c r="Z104" s="5"/>
      <c r="AA104" s="5"/>
      <c r="AB104" s="5"/>
      <c r="AC104" s="6"/>
      <c r="AF104" s="5"/>
      <c r="AG104" s="5"/>
      <c r="AI104" s="3"/>
    </row>
    <row r="105" spans="4:35">
      <c r="D105" s="1"/>
      <c r="K105" s="3"/>
      <c r="Y105" s="5"/>
      <c r="Z105" s="5"/>
      <c r="AA105" s="5"/>
      <c r="AB105" s="5"/>
      <c r="AC105" s="6"/>
      <c r="AF105" s="5"/>
      <c r="AG105" s="5"/>
      <c r="AI105" s="3"/>
    </row>
    <row r="106" spans="4:35">
      <c r="D106" s="1"/>
      <c r="K106" s="3"/>
      <c r="Y106" s="5"/>
      <c r="Z106" s="5"/>
      <c r="AA106" s="5"/>
      <c r="AB106" s="5"/>
      <c r="AC106" s="6"/>
      <c r="AF106" s="5"/>
      <c r="AG106" s="5"/>
      <c r="AI106" s="3"/>
    </row>
    <row r="107" spans="4:35">
      <c r="D107" s="1"/>
      <c r="K107" s="3"/>
      <c r="Y107" s="5"/>
      <c r="Z107" s="5"/>
      <c r="AA107" s="5"/>
      <c r="AB107" s="5"/>
      <c r="AC107" s="6"/>
      <c r="AF107" s="5"/>
      <c r="AG107" s="5"/>
      <c r="AI107" s="3"/>
    </row>
    <row r="108" spans="4:35">
      <c r="D108" s="1"/>
      <c r="K108" s="3"/>
      <c r="Y108" s="5"/>
      <c r="Z108" s="5"/>
      <c r="AA108" s="5"/>
      <c r="AB108" s="5"/>
      <c r="AC108" s="6"/>
      <c r="AF108" s="5"/>
      <c r="AG108" s="5"/>
      <c r="AI108" s="3"/>
    </row>
    <row r="109" spans="4:35">
      <c r="D109" s="1"/>
      <c r="K109" s="3"/>
      <c r="Y109" s="5"/>
      <c r="Z109" s="5"/>
      <c r="AA109" s="5"/>
      <c r="AB109" s="5"/>
      <c r="AC109" s="6"/>
      <c r="AF109" s="5"/>
      <c r="AG109" s="5"/>
      <c r="AI109" s="3"/>
    </row>
    <row r="110" spans="4:35">
      <c r="D110" s="1"/>
      <c r="K110" s="3"/>
      <c r="Y110" s="5"/>
      <c r="Z110" s="5"/>
      <c r="AA110" s="5"/>
      <c r="AB110" s="5"/>
      <c r="AC110" s="6"/>
      <c r="AF110" s="5"/>
      <c r="AG110" s="5"/>
      <c r="AI110" s="3"/>
    </row>
    <row r="111" spans="4:35">
      <c r="D111" s="1"/>
      <c r="K111" s="3"/>
      <c r="Y111" s="5"/>
      <c r="Z111" s="5"/>
      <c r="AA111" s="5"/>
      <c r="AB111" s="5"/>
      <c r="AC111" s="6"/>
      <c r="AF111" s="5"/>
      <c r="AG111" s="5"/>
      <c r="AI111" s="3"/>
    </row>
    <row r="112" spans="4:35">
      <c r="D112" s="1"/>
      <c r="K112" s="3"/>
      <c r="Y112" s="5"/>
      <c r="Z112" s="5"/>
      <c r="AA112" s="5"/>
      <c r="AB112" s="5"/>
      <c r="AC112" s="6"/>
      <c r="AF112" s="5"/>
      <c r="AG112" s="5"/>
      <c r="AI112" s="3"/>
    </row>
    <row r="113" spans="4:35">
      <c r="D113" s="1"/>
      <c r="K113" s="3"/>
      <c r="Y113" s="5"/>
      <c r="Z113" s="5"/>
      <c r="AA113" s="5"/>
      <c r="AB113" s="5"/>
      <c r="AC113" s="6"/>
      <c r="AF113" s="5"/>
      <c r="AG113" s="5"/>
      <c r="AI113" s="3"/>
    </row>
    <row r="114" spans="4:35">
      <c r="D114" s="1"/>
      <c r="K114" s="3"/>
      <c r="Y114" s="5"/>
      <c r="Z114" s="5"/>
      <c r="AA114" s="5"/>
      <c r="AB114" s="5"/>
      <c r="AC114" s="6"/>
      <c r="AF114" s="5"/>
      <c r="AG114" s="5"/>
      <c r="AI114" s="3"/>
    </row>
    <row r="115" spans="4:35">
      <c r="D115" s="1"/>
      <c r="K115" s="3"/>
      <c r="Y115" s="5"/>
      <c r="Z115" s="5"/>
      <c r="AA115" s="5"/>
      <c r="AB115" s="5"/>
      <c r="AC115" s="6"/>
      <c r="AF115" s="5"/>
      <c r="AG115" s="5"/>
      <c r="AI115" s="3"/>
    </row>
    <row r="116" spans="4:35">
      <c r="D116" s="1"/>
      <c r="K116" s="3"/>
      <c r="Y116" s="5"/>
      <c r="Z116" s="5"/>
      <c r="AA116" s="5"/>
      <c r="AB116" s="5"/>
      <c r="AC116" s="6"/>
      <c r="AF116" s="5"/>
      <c r="AG116" s="5"/>
      <c r="AI116" s="3"/>
    </row>
    <row r="117" spans="4:35">
      <c r="D117" s="1"/>
      <c r="K117" s="3"/>
      <c r="Y117" s="5"/>
      <c r="Z117" s="5"/>
      <c r="AA117" s="5"/>
      <c r="AB117" s="5"/>
      <c r="AC117" s="6"/>
      <c r="AF117" s="5"/>
      <c r="AG117" s="5"/>
      <c r="AI117" s="3"/>
    </row>
    <row r="118" spans="4:35">
      <c r="D118" s="1"/>
      <c r="K118" s="3"/>
      <c r="Y118" s="5"/>
      <c r="Z118" s="5"/>
      <c r="AA118" s="5"/>
      <c r="AB118" s="5"/>
      <c r="AC118" s="6"/>
      <c r="AF118" s="5"/>
      <c r="AG118" s="5"/>
      <c r="AI118" s="3"/>
    </row>
    <row r="119" spans="4:35">
      <c r="D119" s="1"/>
      <c r="K119" s="3"/>
      <c r="Y119" s="5"/>
      <c r="Z119" s="5"/>
      <c r="AA119" s="5"/>
      <c r="AB119" s="5"/>
      <c r="AC119" s="6"/>
      <c r="AF119" s="5"/>
      <c r="AG119" s="5"/>
      <c r="AI119" s="3"/>
    </row>
    <row r="120" spans="4:35">
      <c r="D120" s="1"/>
      <c r="K120" s="3"/>
      <c r="Y120" s="5"/>
      <c r="Z120" s="5"/>
      <c r="AA120" s="5"/>
      <c r="AB120" s="5"/>
      <c r="AC120" s="6"/>
      <c r="AF120" s="5"/>
      <c r="AG120" s="5"/>
      <c r="AI120" s="3"/>
    </row>
    <row r="121" spans="4:35">
      <c r="D121" s="1"/>
      <c r="K121" s="3"/>
      <c r="Y121" s="5"/>
      <c r="Z121" s="5"/>
      <c r="AA121" s="5"/>
      <c r="AB121" s="5"/>
      <c r="AC121" s="6"/>
      <c r="AF121" s="5"/>
      <c r="AG121" s="5"/>
      <c r="AI121" s="3"/>
    </row>
    <row r="122" spans="4:35">
      <c r="D122" s="1"/>
      <c r="K122" s="3"/>
      <c r="Y122" s="5"/>
      <c r="Z122" s="5"/>
      <c r="AA122" s="5"/>
      <c r="AB122" s="5"/>
      <c r="AC122" s="6"/>
      <c r="AF122" s="5"/>
      <c r="AG122" s="5"/>
      <c r="AI122" s="3"/>
    </row>
    <row r="123" spans="4:35">
      <c r="D123" s="1"/>
      <c r="K123" s="3"/>
      <c r="Y123" s="5"/>
      <c r="Z123" s="5"/>
      <c r="AA123" s="5"/>
      <c r="AB123" s="5"/>
      <c r="AC123" s="6"/>
      <c r="AF123" s="5"/>
      <c r="AG123" s="5"/>
      <c r="AI123" s="3"/>
    </row>
    <row r="124" spans="4:35">
      <c r="D124" s="1"/>
      <c r="K124" s="3"/>
      <c r="Y124" s="5"/>
      <c r="Z124" s="5"/>
      <c r="AA124" s="5"/>
      <c r="AB124" s="5"/>
      <c r="AC124" s="6"/>
      <c r="AF124" s="5"/>
      <c r="AG124" s="5"/>
      <c r="AI124" s="3"/>
    </row>
    <row r="125" spans="4:35">
      <c r="D125" s="1"/>
      <c r="K125" s="3"/>
      <c r="Y125" s="5"/>
      <c r="Z125" s="5"/>
      <c r="AA125" s="5"/>
      <c r="AB125" s="5"/>
      <c r="AC125" s="6"/>
      <c r="AF125" s="5"/>
      <c r="AG125" s="5"/>
      <c r="AI125" s="3"/>
    </row>
    <row r="126" spans="4:35">
      <c r="D126" s="1"/>
      <c r="K126" s="3"/>
      <c r="Y126" s="5"/>
      <c r="Z126" s="5"/>
      <c r="AA126" s="5"/>
      <c r="AB126" s="5"/>
      <c r="AC126" s="6"/>
      <c r="AF126" s="5"/>
      <c r="AG126" s="5"/>
      <c r="AI126" s="3"/>
    </row>
    <row r="127" spans="4:35">
      <c r="D127" s="1"/>
      <c r="K127" s="3"/>
      <c r="Y127" s="5"/>
      <c r="Z127" s="5"/>
      <c r="AA127" s="5"/>
      <c r="AB127" s="5"/>
      <c r="AC127" s="6"/>
      <c r="AF127" s="5"/>
      <c r="AG127" s="5"/>
      <c r="AI127" s="3"/>
    </row>
    <row r="128" spans="4:35">
      <c r="D128" s="1"/>
      <c r="K128" s="3"/>
      <c r="Y128" s="5"/>
      <c r="Z128" s="5"/>
      <c r="AA128" s="5"/>
      <c r="AB128" s="5"/>
      <c r="AC128" s="6"/>
      <c r="AF128" s="5"/>
      <c r="AG128" s="5"/>
      <c r="AI128" s="3"/>
    </row>
    <row r="129" spans="4:35">
      <c r="D129" s="1"/>
      <c r="K129" s="3"/>
      <c r="Y129" s="5"/>
      <c r="Z129" s="5"/>
      <c r="AA129" s="5"/>
      <c r="AB129" s="5"/>
      <c r="AC129" s="6"/>
      <c r="AF129" s="5"/>
      <c r="AG129" s="5"/>
      <c r="AI129" s="3"/>
    </row>
    <row r="130" spans="4:35">
      <c r="D130" s="1"/>
      <c r="K130" s="3"/>
      <c r="Y130" s="5"/>
      <c r="Z130" s="5"/>
      <c r="AA130" s="5"/>
      <c r="AB130" s="5"/>
      <c r="AC130" s="6"/>
      <c r="AF130" s="5"/>
      <c r="AG130" s="5"/>
      <c r="AI130" s="3"/>
    </row>
    <row r="131" spans="4:35">
      <c r="D131" s="1"/>
      <c r="E131" s="2"/>
      <c r="K131" s="3"/>
      <c r="Y131" s="5"/>
      <c r="Z131" s="5"/>
      <c r="AA131" s="5"/>
      <c r="AB131" s="5"/>
      <c r="AC131" s="6"/>
      <c r="AF131" s="5"/>
      <c r="AG131" s="5"/>
      <c r="AI131" s="3"/>
    </row>
    <row r="132" spans="4:35">
      <c r="D132" s="1"/>
      <c r="K132" s="3"/>
      <c r="Y132" s="5"/>
      <c r="Z132" s="5"/>
      <c r="AA132" s="5"/>
      <c r="AB132" s="5"/>
      <c r="AC132" s="6"/>
      <c r="AF132" s="5"/>
      <c r="AG132" s="5"/>
      <c r="AI132" s="3"/>
    </row>
    <row r="133" spans="4:35">
      <c r="D133" s="1"/>
      <c r="K133" s="3"/>
      <c r="Y133" s="5"/>
      <c r="Z133" s="5"/>
      <c r="AA133" s="5"/>
      <c r="AB133" s="5"/>
      <c r="AC133" s="6"/>
      <c r="AF133" s="5"/>
      <c r="AG133" s="5"/>
      <c r="AI133" s="3"/>
    </row>
    <row r="134" spans="4:35">
      <c r="D134" s="1"/>
      <c r="K134" s="3"/>
      <c r="Y134" s="5"/>
      <c r="Z134" s="5"/>
      <c r="AA134" s="5"/>
      <c r="AB134" s="5"/>
      <c r="AC134" s="6"/>
      <c r="AF134" s="5"/>
      <c r="AG134" s="5"/>
      <c r="AI134" s="3"/>
    </row>
    <row r="135" spans="4:35">
      <c r="D135" s="1"/>
      <c r="K135" s="3"/>
      <c r="Y135" s="5"/>
      <c r="Z135" s="5"/>
      <c r="AA135" s="5"/>
      <c r="AB135" s="5"/>
      <c r="AC135" s="6"/>
      <c r="AF135" s="5"/>
      <c r="AG135" s="5"/>
      <c r="AI135" s="3"/>
    </row>
    <row r="136" spans="4:35">
      <c r="D136" s="1"/>
      <c r="K136" s="3"/>
      <c r="Y136" s="5"/>
      <c r="Z136" s="5"/>
      <c r="AA136" s="5"/>
      <c r="AB136" s="5"/>
      <c r="AC136" s="6"/>
      <c r="AF136" s="5"/>
      <c r="AG136" s="5"/>
      <c r="AI136" s="3"/>
    </row>
    <row r="137" spans="4:35">
      <c r="D137" s="1"/>
      <c r="K137" s="3"/>
      <c r="Y137" s="5"/>
      <c r="Z137" s="5"/>
      <c r="AA137" s="5"/>
      <c r="AB137" s="5"/>
      <c r="AC137" s="6"/>
      <c r="AF137" s="5"/>
      <c r="AG137" s="5"/>
      <c r="AI137" s="3"/>
    </row>
    <row r="138" spans="4:35">
      <c r="D138" s="1"/>
      <c r="K138" s="3"/>
      <c r="Y138" s="5"/>
      <c r="Z138" s="5"/>
      <c r="AA138" s="5"/>
      <c r="AB138" s="5"/>
      <c r="AC138" s="6"/>
      <c r="AF138" s="5"/>
      <c r="AG138" s="5"/>
      <c r="AI138" s="3"/>
    </row>
    <row r="139" spans="4:35">
      <c r="D139" s="1"/>
      <c r="K139" s="3"/>
      <c r="Y139" s="5"/>
      <c r="Z139" s="5"/>
      <c r="AA139" s="5"/>
      <c r="AB139" s="5"/>
      <c r="AC139" s="6"/>
      <c r="AF139" s="5"/>
      <c r="AG139" s="5"/>
      <c r="AI139" s="3"/>
    </row>
    <row r="140" spans="4:35">
      <c r="D140" s="1"/>
      <c r="E140" s="2"/>
      <c r="K140" s="3"/>
      <c r="Y140" s="5"/>
      <c r="Z140" s="5"/>
      <c r="AA140" s="5"/>
      <c r="AB140" s="5"/>
      <c r="AC140" s="6"/>
      <c r="AF140" s="5"/>
      <c r="AG140" s="5"/>
      <c r="AI140" s="3"/>
    </row>
    <row r="141" spans="4:35">
      <c r="D141" s="1"/>
      <c r="K141" s="3"/>
      <c r="Y141" s="5"/>
      <c r="Z141" s="5"/>
      <c r="AA141" s="5"/>
      <c r="AB141" s="5"/>
      <c r="AC141" s="6"/>
      <c r="AF141" s="5"/>
      <c r="AG141" s="5"/>
      <c r="AI141" s="3"/>
    </row>
    <row r="142" spans="4:35">
      <c r="D142" s="1"/>
      <c r="K142" s="3"/>
      <c r="Y142" s="5"/>
      <c r="Z142" s="5"/>
      <c r="AA142" s="5"/>
      <c r="AB142" s="5"/>
      <c r="AC142" s="6"/>
      <c r="AF142" s="5"/>
      <c r="AG142" s="5"/>
      <c r="AI142" s="3"/>
    </row>
    <row r="143" spans="4:35">
      <c r="D143" s="1"/>
      <c r="K143" s="3"/>
      <c r="Y143" s="5"/>
      <c r="Z143" s="5"/>
      <c r="AA143" s="5"/>
      <c r="AB143" s="5"/>
      <c r="AC143" s="6"/>
      <c r="AF143" s="5"/>
      <c r="AG143" s="5"/>
      <c r="AI143" s="3"/>
    </row>
    <row r="144" spans="4:35">
      <c r="D144" s="1"/>
      <c r="K144" s="3"/>
      <c r="Y144" s="5"/>
      <c r="Z144" s="5"/>
      <c r="AA144" s="5"/>
      <c r="AB144" s="5"/>
      <c r="AC144" s="6"/>
      <c r="AF144" s="5"/>
      <c r="AG144" s="5"/>
      <c r="AI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SCI-PC118</dc:creator>
  <cp:lastModifiedBy>SCI-PC188</cp:lastModifiedBy>
  <dcterms:created xsi:type="dcterms:W3CDTF">2026-04-08T00:45:00Z</dcterms:created>
  <dcterms:modified xsi:type="dcterms:W3CDTF">2026-07-31T02:46:22Z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