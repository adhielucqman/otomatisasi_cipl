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00" windowHeight="117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Sheet1!$A$1:$G$63</definedName>
  </definedNames>
  <calcPr calcId="144525"/>
</workbook>
</file>

<file path=xl/sharedStrings.xml><?xml version="1.0" encoding="utf-8"?>
<sst xmlns="http://schemas.openxmlformats.org/spreadsheetml/2006/main" count="329" uniqueCount="107">
  <si>
    <t>Kolom Bantu POD</t>
  </si>
  <si>
    <t>Country</t>
  </si>
  <si>
    <t>By</t>
  </si>
  <si>
    <t>Branch Plant</t>
  </si>
  <si>
    <t>Consignee</t>
  </si>
  <si>
    <t>Notify Party/Delivery Address</t>
  </si>
  <si>
    <t>POD</t>
  </si>
  <si>
    <t>CA</t>
  </si>
  <si>
    <t>CFS</t>
  </si>
  <si>
    <t>CROCS CANADA, INC
100 King street West
1 First Canadian place
Suite 6200
Toronto, ON
M5X 1B8, CANADA</t>
  </si>
  <si>
    <t>UPS SCS INC
399 Glover Road
Hamilton, ON, L0R 1P0
Email: UPSCROCSInboundHamilton@ups.com
Phone#: 365-227-1060</t>
  </si>
  <si>
    <t>Vancouver</t>
  </si>
  <si>
    <t>CY</t>
  </si>
  <si>
    <t>US</t>
  </si>
  <si>
    <t xml:space="preserve">CROCS, Inc.
500 Eldorado Blvd.  Bldg 5 
Broomfield, CO  80021 USA
PH: 303 848-7287
(IRS# 20-2164234-00)  </t>
  </si>
  <si>
    <t>Damco distribution service
12801 Excelsior Dr.
Santa Fe Springs, CA 90670 
USA
Phone (1) 213-514-0091</t>
  </si>
  <si>
    <t>LOS ANGELES</t>
  </si>
  <si>
    <t>Maersk Logistics Services USA Inc, 
aka WND
Sav 11- 380 Fort Argyle Rd. Savannah,
GA 31419
USA</t>
  </si>
  <si>
    <t>SAVANNAH</t>
  </si>
  <si>
    <t>CROCS, Inc.
500 Eldorado Blvd.  Bldg 5 
Broomfield, CO  80021 USA
PH: 303 848-7287
(IRS# 20-2164234-00)</t>
  </si>
  <si>
    <t>CROCS Vandalia FINAL
10391 Dog Leg Road
Vandalia, OH 45377
USA
Phone (1) 720-552-2451</t>
  </si>
  <si>
    <t>BR</t>
  </si>
  <si>
    <t>BRA001</t>
  </si>
  <si>
    <t>CROCS BRASIL COMERCIO DE CALCADOS LTDA
AVENIDA JOSE LUIZ MAZZALI
450 GALPAOMODULO 2A SALA CROCS AREA 02
SANTO ANTONIO LOUVEIRA,SP,13294002 BRAZIL
CNPJ 74.261.884/0024-60</t>
  </si>
  <si>
    <t>Same as Consignee</t>
  </si>
  <si>
    <t>SANTOS</t>
  </si>
  <si>
    <t>KR</t>
  </si>
  <si>
    <t>Crocs Korea Inc. 
410, Teheran-ro, Gangnam-gu, Seoul 
6F KeumKang Tower 
Seoul, 06192 
KOREA</t>
  </si>
  <si>
    <t>287, Cheongbaengni-ro, 
Baeksa-myeon, Icheon-si, 
Gyeonggi-do, 
Republic of Korea
Postal code is 17315.</t>
  </si>
  <si>
    <t>INCHEON</t>
  </si>
  <si>
    <t>IN</t>
  </si>
  <si>
    <t xml:space="preserve">Crocs India Private Limited
10th Floor, Tower-C, Building no. 10, DLF Cyber City, 
Gurugram -122002, Haryana, INDIA.
PAN No. – AADCC0151A, IEC: 0507000919 
GSTIN: 27AADCC0151A1ZH
</t>
  </si>
  <si>
    <t>Crocs India Private Limited
M/s CJ DARCL Logistics Limited
Building RA-3 at Ratan Logistics &amp; Industrial Hub
Village, Amane, Bhiwandi Thane Maharashtra – 
421302, India GST-27AADCC0151A1ZH</t>
  </si>
  <si>
    <t>JAWAHARLAL NEHRU</t>
  </si>
  <si>
    <t>EU</t>
  </si>
  <si>
    <t xml:space="preserve"> Crocs Europe BV
Planeetbaan 4
2132 HZ Hoofddorp
The Netherlands</t>
  </si>
  <si>
    <t>Dordrecht DC
Burgemeester van Zuurenstraat 510
3316LT Dordrecht,NL.</t>
  </si>
  <si>
    <t>ROTTERDAM</t>
  </si>
  <si>
    <t>UK</t>
  </si>
  <si>
    <t>Ceva Logistics 
DC3 North Kettering Business Park
Hipwell Road
Kettering
NN14 1UA</t>
  </si>
  <si>
    <t>LONDON</t>
  </si>
  <si>
    <t>CROCS UK LIMITED
FIRST FLOOR, EC4A 4AB, 26, FARRINGDON STREET,
LONDON, UNITED KINGDOM, GB, EC4A 4AB
Phone  no.: +44 7909873617</t>
  </si>
  <si>
    <t>JP</t>
  </si>
  <si>
    <t>Crocs Japan GK
19F Toranomon Hills Station Tower, 
2-6-1 Toranomon, Minato-ku, Tokyo 105-5519 Japan
Tel: +81 50-5050-9702</t>
  </si>
  <si>
    <t>Crocs Distribution Center
(MFLP Yachiyo Katsutadai 3F 4F)
1807-13 Nakano Kamikoya
Yachiyo-shi, Chiba-ken 276-0022
Japan</t>
  </si>
  <si>
    <t>TOKYO</t>
  </si>
  <si>
    <t>AU</t>
  </si>
  <si>
    <t>Crocs Australia Pty Ltd
Suite 2.01, Level 2, Building 1,
658 Church Street, 
Richmond 3121</t>
  </si>
  <si>
    <t>MAERSK LOGISTICS &amp; SERVICES AUSTRALIA PTY LTD
17, REID WAY, Melbourne Airport, 
VICTORIA, 3045 AUSTRALIA</t>
  </si>
  <si>
    <t>Melbourne</t>
  </si>
  <si>
    <t>MAERSK LOGISTICS &amp; SERVICES AUSTRALIA PTY LTD 
Unit 2A, 145 Hollinsworth Rd, 
Marsden Park NSW 2765
Australia</t>
  </si>
  <si>
    <t>Sydney</t>
  </si>
  <si>
    <t>MAERSK LOGISTICS &amp; SERVICES AUSTRALIA PTY LTD
28 Flint Street, Inala, Queensland, 
4077, Australia</t>
  </si>
  <si>
    <t>Brisbane</t>
  </si>
  <si>
    <t>MY</t>
  </si>
  <si>
    <t>Crocs Footwear (Malaysia) Sdn, Bhd. 
9-7 (Level) 7, Jalana USJ 9/5Q 
Subang Business Centre 
UEP Subang Jaya 
Subang Jaya 
Selangor 47620</t>
  </si>
  <si>
    <t>LF LOGISTICS SERVICES (M) SDN. BHD.
NO.2, JALAN TANJUNG KERAMAT 26/35,
SEKSYEN 26, 40400 SHAH ALAM, SELANGOR.</t>
  </si>
  <si>
    <t>Port Klang</t>
  </si>
  <si>
    <t>CN</t>
  </si>
  <si>
    <t>Crocs Trading (Shanghai) Co., Ltd.
27F Office Building, Shanghai Times Square,
93 Huaihai Road(M),Shanghai 200021,China</t>
  </si>
  <si>
    <t>Crocs Warehouse (Shanghai)
NO.1518-1,SIYI ROAD,JIADING DISTRICT,
SHANGHAI, P.R.China 201801</t>
  </si>
  <si>
    <t>SHANGHAI</t>
  </si>
  <si>
    <t>Crocs Footwear &amp; Accessories (Shanghai) Co., Ltd.
27F Office Building, Shanghai Times Square,
93 Huaihai Road(M),Shanghai 200021, China</t>
  </si>
  <si>
    <t>MX</t>
  </si>
  <si>
    <t>COMERCIO EXCELENTE NORTE SUR, S. A. DE C.V.
LAFONTAINE NO. 92, COL. POLANCO III SECCION
CIUDAD DE MEXICO, C.P. 11540
MEXICO</t>
  </si>
  <si>
    <t>SAME AS CONSIGNEE</t>
  </si>
  <si>
    <t xml:space="preserve">LAZARO CARDENAS </t>
  </si>
  <si>
    <t>TH</t>
  </si>
  <si>
    <t>Central Trading Co.,Ltd
3388/25-37 Sirinrat Building,
8th – 11th Floor, Rama IV Road
Klong-Ton, Klong-Toey
Bangkok 10110 Thailand</t>
  </si>
  <si>
    <t>Laem Chabang</t>
  </si>
  <si>
    <t>LB</t>
  </si>
  <si>
    <t xml:space="preserve">MIKE SPORT &amp; CO SAL
MIKE SPORT BUILDING
ZALKA HIGHWAY STREET
BEIRUT LEBANON
TEL: 961 1 888855
</t>
  </si>
  <si>
    <t>BEIRUT, LEBANON</t>
  </si>
  <si>
    <t>NZ</t>
  </si>
  <si>
    <t>Liquid Brands
33 Islington Ave
Islington
8042
Christchurch
New Zealand</t>
  </si>
  <si>
    <t xml:space="preserve"> LYTTELTON, NEW ZEALAND</t>
  </si>
  <si>
    <t>CH</t>
  </si>
  <si>
    <t>DLD TRADING AG
THUNSTRASSE 86
CH – 3074 MURI B. BERN
SWITZERLAND</t>
  </si>
  <si>
    <t>AIT Worldwide Logistics Switzerland AG 
Hofackerstrasse 73-75, 4132 Muttenz,
Switzerland
Office: +41 (61) 568 73 75</t>
  </si>
  <si>
    <t>IL</t>
  </si>
  <si>
    <t>Tammuz trade (1983) ltd
5 BIYALIK ST.
TEL-AVIV 63324
ISRAEL
NEWC</t>
  </si>
  <si>
    <t>ASHDOD</t>
  </si>
  <si>
    <t>TW</t>
  </si>
  <si>
    <t>YO-HENG INTERNATIONAL CO., LTD.
NO.96,  WUFU 1ST RD., XINXING DIST., 
KAOHSIUNG CITY 800,TAIWAN</t>
  </si>
  <si>
    <t>Kaohsiung</t>
  </si>
  <si>
    <t>Boolchand's LTD
Building 2 Bay B
St. Thomas 00802
Virgin Islands, U.S</t>
  </si>
  <si>
    <t>LAS INTERNATIONAL CORP
8320 NW 14ST DORAL, FL 33126
PH#305-517-5700
EMAIL: OPERATIONLAS@LASINT.COM</t>
  </si>
  <si>
    <t>Miami</t>
  </si>
  <si>
    <t>UAE</t>
  </si>
  <si>
    <t>BRANDSINC 
D-11, Block 5, Clifton,
Karachi, Pakistan</t>
  </si>
  <si>
    <t>Same as consignee</t>
  </si>
  <si>
    <t>Karachi</t>
  </si>
  <si>
    <t>PH</t>
  </si>
  <si>
    <t>NICECOLORADO CORPORATION U2K 8005
DON JESUS BLDGF OMNI ARCADE ALABANG HILLS
CUPANG MUNTINLUPA CITY 1771 PHILIPPINES</t>
  </si>
  <si>
    <t>Manila</t>
  </si>
  <si>
    <t>PE</t>
  </si>
  <si>
    <t>GRETEL INTERNATIONAL SAC
AV. SANTA CRUZ 466, PISO 5. SAN ISIDRO.
LIMA-PERU RUC 20601664489
ATTN: JACQUELINE LEONARD TEL. +51 945 265 363</t>
  </si>
  <si>
    <t>Callao</t>
  </si>
  <si>
    <t>CNHK</t>
  </si>
  <si>
    <t>SWIRE RESOURCES LTD
12/F PAK SIK GODOWN NO. 2 , 
15-29 WO SHUI STREET FOTAN N.T. HONG KONG . 
TEL: 852-22568321 /22568319  
CONTACT: CATHERINE TANG/VINCCI LEUNG</t>
  </si>
  <si>
    <t>Hong Kong</t>
  </si>
  <si>
    <t>ZHONGSHAN SHI YI ZHOU LOGISTICS CO.LTD. 
YIZHOU WREHOUSE,JUNFA STREET, MINZHONG TOWN, 
ZHONGSHAN CITY, MINZHONG TOWN, ZHONGSHAN CITY, 
GUANGDONG, CHINA.
TEL: 8613680250362 CONTACT MR.MING LAI</t>
  </si>
  <si>
    <t>ROOM 810-811, COMPREHENSIVE OFFICE BUILDING, 
ZHONGSHAN BONDED LOGISTICS CENTER,
YANGGUANG ROAD, 
TEL: 86-13680250362 CONTACT MR. MING LAI</t>
  </si>
  <si>
    <t>DO</t>
  </si>
  <si>
    <t>INVERSIONES VAR SRL
RNC# 132052218
ROBERTO PASTORIZA # 700, EVARISTO MORALES
TEL:809-732-9708</t>
  </si>
  <si>
    <t>ECARGO LOGISTISC SRL
RNC# 132054474
EDWIN ESTEVEZ
EDWIN.ESTEVEZ@ECARGO.DO
TEL. 8293420087</t>
  </si>
  <si>
    <t>CAUCEDO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</si>
</sst>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-&quot;Rp&quot;* #,##0_-;\-&quot;Rp&quot;* #,##0_-;_-&quot;Rp&quot;* &quot;-&quot;??_-;_-@_-"/>
    <numFmt numFmtId="178" formatCode="_(* #,##0_);_(* \(#,##0\);_(* &quot;-&quot;_);_(@_)"/>
    <numFmt numFmtId="179" formatCode="_-&quot;Rp&quot;* #,##0.00_-;\-&quot;Rp&quot;* #,##0.0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0" fontId="10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1" fillId="0" borderId="0"/>
    <xf numFmtId="0" fontId="9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176" fontId="2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Normal 33" xf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mma 2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pane xSplit="2" ySplit="1" topLeftCell="C44" activePane="bottomRight" state="frozen"/>
      <selection/>
      <selection pane="topRight"/>
      <selection pane="bottomLeft"/>
      <selection pane="bottomRight" activeCell="E45" sqref="E45"/>
    </sheetView>
  </sheetViews>
  <sheetFormatPr defaultColWidth="9" defaultRowHeight="15" outlineLevelCol="6"/>
  <cols>
    <col min="1" max="1" width="15" style="1" customWidth="1"/>
    <col min="2" max="3" width="14.7142857142857" customWidth="1"/>
    <col min="4" max="4" width="10.4285714285714" style="2" customWidth="1"/>
    <col min="5" max="5" width="53" customWidth="1"/>
    <col min="6" max="6" width="47.2857142857143" customWidth="1"/>
    <col min="7" max="7" width="12.8571428571429" style="3" customWidth="1"/>
  </cols>
  <sheetData>
    <row r="1" ht="30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90" spans="1:7">
      <c r="A2" s="6" t="str">
        <f t="shared" ref="A2" si="0">B2&amp;C2&amp;D2</f>
        <v>CACFS1032</v>
      </c>
      <c r="B2" s="7" t="s">
        <v>7</v>
      </c>
      <c r="C2" s="7" t="s">
        <v>8</v>
      </c>
      <c r="D2" s="7">
        <v>1032</v>
      </c>
      <c r="E2" s="7" t="s">
        <v>9</v>
      </c>
      <c r="F2" s="7" t="s">
        <v>10</v>
      </c>
      <c r="G2" s="7" t="s">
        <v>11</v>
      </c>
    </row>
    <row r="3" ht="90" spans="1:7">
      <c r="A3" s="6" t="str">
        <f t="shared" ref="A3:A16" si="1">B3&amp;C3&amp;D3</f>
        <v>CACY1032</v>
      </c>
      <c r="B3" s="7" t="s">
        <v>7</v>
      </c>
      <c r="C3" s="7" t="s">
        <v>12</v>
      </c>
      <c r="D3" s="7">
        <v>1032</v>
      </c>
      <c r="E3" s="7" t="s">
        <v>9</v>
      </c>
      <c r="F3" s="7" t="s">
        <v>10</v>
      </c>
      <c r="G3" s="7" t="s">
        <v>11</v>
      </c>
    </row>
    <row r="4" ht="75" spans="1:7">
      <c r="A4" s="6" t="str">
        <f t="shared" ref="A4" si="2">B4&amp;C4&amp;D4</f>
        <v>USCFS1001</v>
      </c>
      <c r="B4" s="7" t="s">
        <v>13</v>
      </c>
      <c r="C4" s="6" t="s">
        <v>8</v>
      </c>
      <c r="D4" s="6">
        <v>1001</v>
      </c>
      <c r="E4" s="7" t="s">
        <v>14</v>
      </c>
      <c r="F4" s="7" t="s">
        <v>15</v>
      </c>
      <c r="G4" s="7" t="s">
        <v>16</v>
      </c>
    </row>
    <row r="5" ht="75" spans="1:7">
      <c r="A5" s="6" t="str">
        <f t="shared" si="1"/>
        <v>USCY1001</v>
      </c>
      <c r="B5" s="7" t="s">
        <v>13</v>
      </c>
      <c r="C5" s="6" t="s">
        <v>12</v>
      </c>
      <c r="D5" s="6">
        <v>1001</v>
      </c>
      <c r="E5" s="7" t="s">
        <v>14</v>
      </c>
      <c r="F5" s="7" t="s">
        <v>15</v>
      </c>
      <c r="G5" s="7" t="s">
        <v>16</v>
      </c>
    </row>
    <row r="6" ht="75" spans="1:7">
      <c r="A6" s="6" t="str">
        <f t="shared" ref="A6" si="3">B6&amp;C6&amp;D6</f>
        <v>USCFS1003</v>
      </c>
      <c r="B6" s="7" t="s">
        <v>13</v>
      </c>
      <c r="C6" s="7" t="s">
        <v>8</v>
      </c>
      <c r="D6" s="7">
        <v>1003</v>
      </c>
      <c r="E6" s="7" t="s">
        <v>14</v>
      </c>
      <c r="F6" s="7" t="s">
        <v>17</v>
      </c>
      <c r="G6" s="6" t="s">
        <v>18</v>
      </c>
    </row>
    <row r="7" ht="75" spans="1:7">
      <c r="A7" s="6" t="str">
        <f t="shared" si="1"/>
        <v>USCY1003</v>
      </c>
      <c r="B7" s="7" t="s">
        <v>13</v>
      </c>
      <c r="C7" s="7" t="s">
        <v>12</v>
      </c>
      <c r="D7" s="7">
        <v>1003</v>
      </c>
      <c r="E7" s="7" t="s">
        <v>14</v>
      </c>
      <c r="F7" s="7" t="s">
        <v>17</v>
      </c>
      <c r="G7" s="6" t="s">
        <v>18</v>
      </c>
    </row>
    <row r="8" ht="75" spans="1:7">
      <c r="A8" s="6" t="str">
        <f t="shared" si="1"/>
        <v>USCFS1005</v>
      </c>
      <c r="B8" s="7" t="s">
        <v>13</v>
      </c>
      <c r="C8" s="7" t="s">
        <v>8</v>
      </c>
      <c r="D8" s="7">
        <v>1005</v>
      </c>
      <c r="E8" s="7" t="s">
        <v>19</v>
      </c>
      <c r="F8" s="7" t="s">
        <v>20</v>
      </c>
      <c r="G8" s="6" t="s">
        <v>16</v>
      </c>
    </row>
    <row r="9" ht="75" spans="1:7">
      <c r="A9" s="6" t="str">
        <f t="shared" si="1"/>
        <v>USCY1005</v>
      </c>
      <c r="B9" s="7" t="s">
        <v>13</v>
      </c>
      <c r="C9" s="7" t="s">
        <v>12</v>
      </c>
      <c r="D9" s="7">
        <v>1005</v>
      </c>
      <c r="E9" s="7" t="s">
        <v>19</v>
      </c>
      <c r="F9" s="7" t="s">
        <v>20</v>
      </c>
      <c r="G9" s="6" t="s">
        <v>16</v>
      </c>
    </row>
    <row r="10" ht="75" spans="1:7">
      <c r="A10" s="6" t="str">
        <f t="shared" si="1"/>
        <v>BRCYBRA001</v>
      </c>
      <c r="B10" s="7" t="s">
        <v>21</v>
      </c>
      <c r="C10" s="7" t="s">
        <v>12</v>
      </c>
      <c r="D10" s="6" t="s">
        <v>22</v>
      </c>
      <c r="E10" s="7" t="s">
        <v>23</v>
      </c>
      <c r="F10" s="6" t="s">
        <v>24</v>
      </c>
      <c r="G10" s="6" t="s">
        <v>25</v>
      </c>
    </row>
    <row r="11" ht="75" spans="1:7">
      <c r="A11" s="6" t="str">
        <f t="shared" si="1"/>
        <v>BRCFSBRA001</v>
      </c>
      <c r="B11" s="7" t="s">
        <v>21</v>
      </c>
      <c r="C11" s="7" t="s">
        <v>8</v>
      </c>
      <c r="D11" s="6" t="s">
        <v>22</v>
      </c>
      <c r="E11" s="7" t="s">
        <v>23</v>
      </c>
      <c r="F11" s="6" t="s">
        <v>24</v>
      </c>
      <c r="G11" s="6" t="s">
        <v>25</v>
      </c>
    </row>
    <row r="12" ht="75" spans="1:7">
      <c r="A12" s="6" t="str">
        <f t="shared" ref="A12" si="4">B12&amp;C12&amp;D12</f>
        <v>KRCY3101</v>
      </c>
      <c r="B12" s="7" t="s">
        <v>26</v>
      </c>
      <c r="C12" s="6" t="s">
        <v>12</v>
      </c>
      <c r="D12" s="6">
        <v>3101</v>
      </c>
      <c r="E12" s="7" t="s">
        <v>27</v>
      </c>
      <c r="F12" s="7" t="s">
        <v>28</v>
      </c>
      <c r="G12" s="6" t="s">
        <v>29</v>
      </c>
    </row>
    <row r="13" ht="75" spans="1:7">
      <c r="A13" s="6" t="str">
        <f t="shared" si="1"/>
        <v>KRCFS3101</v>
      </c>
      <c r="B13" s="7" t="s">
        <v>26</v>
      </c>
      <c r="C13" s="6" t="s">
        <v>8</v>
      </c>
      <c r="D13" s="6">
        <v>3101</v>
      </c>
      <c r="E13" s="7" t="s">
        <v>27</v>
      </c>
      <c r="F13" s="7" t="s">
        <v>28</v>
      </c>
      <c r="G13" s="6" t="s">
        <v>29</v>
      </c>
    </row>
    <row r="14" ht="120" spans="1:7">
      <c r="A14" s="6" t="str">
        <f t="shared" ref="A14" si="5">B14&amp;C14&amp;D14</f>
        <v>INCY3081</v>
      </c>
      <c r="B14" s="7" t="s">
        <v>30</v>
      </c>
      <c r="C14" s="6" t="s">
        <v>12</v>
      </c>
      <c r="D14" s="6">
        <v>3081</v>
      </c>
      <c r="E14" s="7" t="s">
        <v>31</v>
      </c>
      <c r="F14" s="7" t="s">
        <v>32</v>
      </c>
      <c r="G14" s="6" t="s">
        <v>33</v>
      </c>
    </row>
    <row r="15" ht="120" spans="1:7">
      <c r="A15" s="6" t="str">
        <f t="shared" si="1"/>
        <v>INCFS3081</v>
      </c>
      <c r="B15" s="7" t="s">
        <v>30</v>
      </c>
      <c r="C15" s="6" t="s">
        <v>8</v>
      </c>
      <c r="D15" s="6">
        <v>3081</v>
      </c>
      <c r="E15" s="7" t="s">
        <v>31</v>
      </c>
      <c r="F15" s="7" t="s">
        <v>32</v>
      </c>
      <c r="G15" s="6" t="s">
        <v>33</v>
      </c>
    </row>
    <row r="16" ht="120" spans="1:7">
      <c r="A16" s="6" t="str">
        <f t="shared" si="1"/>
        <v>INCY3082</v>
      </c>
      <c r="B16" s="7" t="s">
        <v>30</v>
      </c>
      <c r="C16" s="6" t="s">
        <v>12</v>
      </c>
      <c r="D16" s="6">
        <v>3082</v>
      </c>
      <c r="E16" s="7" t="s">
        <v>31</v>
      </c>
      <c r="F16" s="7" t="s">
        <v>32</v>
      </c>
      <c r="G16" s="6" t="s">
        <v>33</v>
      </c>
    </row>
    <row r="17" ht="120" spans="1:7">
      <c r="A17" s="6" t="str">
        <f t="shared" ref="A17:A19" si="6">B17&amp;C17&amp;D17</f>
        <v>INCFS3082</v>
      </c>
      <c r="B17" s="7" t="s">
        <v>30</v>
      </c>
      <c r="C17" s="6" t="s">
        <v>8</v>
      </c>
      <c r="D17" s="6">
        <v>3082</v>
      </c>
      <c r="E17" s="7" t="s">
        <v>31</v>
      </c>
      <c r="F17" s="7" t="s">
        <v>32</v>
      </c>
      <c r="G17" s="6" t="s">
        <v>33</v>
      </c>
    </row>
    <row r="18" ht="60" spans="1:7">
      <c r="A18" s="6" t="str">
        <f t="shared" si="6"/>
        <v>EUCY2004</v>
      </c>
      <c r="B18" s="7" t="s">
        <v>34</v>
      </c>
      <c r="C18" s="6" t="s">
        <v>12</v>
      </c>
      <c r="D18" s="6">
        <v>2004</v>
      </c>
      <c r="E18" s="7" t="s">
        <v>35</v>
      </c>
      <c r="F18" s="7" t="s">
        <v>36</v>
      </c>
      <c r="G18" s="6" t="s">
        <v>37</v>
      </c>
    </row>
    <row r="19" ht="60" spans="1:7">
      <c r="A19" s="6" t="str">
        <f t="shared" si="6"/>
        <v>EUCFS2004</v>
      </c>
      <c r="B19" s="7" t="s">
        <v>34</v>
      </c>
      <c r="C19" s="6" t="s">
        <v>8</v>
      </c>
      <c r="D19" s="6">
        <v>2004</v>
      </c>
      <c r="E19" s="7" t="s">
        <v>35</v>
      </c>
      <c r="F19" s="7" t="s">
        <v>36</v>
      </c>
      <c r="G19" s="6" t="s">
        <v>37</v>
      </c>
    </row>
    <row r="20" ht="75" spans="1:7">
      <c r="A20" s="6" t="str">
        <f t="shared" ref="A20" si="7">B20&amp;C20&amp;D20</f>
        <v>UKCY2004</v>
      </c>
      <c r="B20" s="7" t="s">
        <v>38</v>
      </c>
      <c r="C20" s="6" t="s">
        <v>12</v>
      </c>
      <c r="D20" s="6">
        <v>2004</v>
      </c>
      <c r="E20" s="7" t="s">
        <v>35</v>
      </c>
      <c r="F20" s="7" t="s">
        <v>39</v>
      </c>
      <c r="G20" s="6" t="s">
        <v>40</v>
      </c>
    </row>
    <row r="21" ht="75" spans="1:7">
      <c r="A21" s="6" t="str">
        <f t="shared" ref="A21:A22" si="8">B21&amp;C21&amp;D21</f>
        <v>UKCFS2004</v>
      </c>
      <c r="B21" s="7" t="s">
        <v>38</v>
      </c>
      <c r="C21" s="6" t="s">
        <v>8</v>
      </c>
      <c r="D21" s="6">
        <v>2004</v>
      </c>
      <c r="E21" s="7" t="s">
        <v>35</v>
      </c>
      <c r="F21" s="7" t="s">
        <v>39</v>
      </c>
      <c r="G21" s="6" t="s">
        <v>40</v>
      </c>
    </row>
    <row r="22" ht="75" spans="1:7">
      <c r="A22" s="6" t="str">
        <f t="shared" si="8"/>
        <v>EUCY2061</v>
      </c>
      <c r="B22" s="7" t="s">
        <v>34</v>
      </c>
      <c r="C22" s="6" t="s">
        <v>12</v>
      </c>
      <c r="D22" s="6">
        <v>2061</v>
      </c>
      <c r="E22" s="7" t="s">
        <v>41</v>
      </c>
      <c r="F22" s="7" t="s">
        <v>39</v>
      </c>
      <c r="G22" s="6" t="s">
        <v>40</v>
      </c>
    </row>
    <row r="23" ht="75" spans="1:7">
      <c r="A23" s="6" t="str">
        <f t="shared" ref="A23:A26" si="9">B23&amp;C23&amp;D23</f>
        <v>EUCFS2061</v>
      </c>
      <c r="B23" s="7" t="s">
        <v>34</v>
      </c>
      <c r="C23" s="6" t="s">
        <v>8</v>
      </c>
      <c r="D23" s="6">
        <v>2061</v>
      </c>
      <c r="E23" s="7" t="s">
        <v>41</v>
      </c>
      <c r="F23" s="7" t="s">
        <v>39</v>
      </c>
      <c r="G23" s="6" t="s">
        <v>40</v>
      </c>
    </row>
    <row r="24" ht="75" spans="1:7">
      <c r="A24" s="6" t="str">
        <f t="shared" ref="A24" si="10">B24&amp;C24&amp;D24</f>
        <v>JPCY3021</v>
      </c>
      <c r="B24" s="7" t="s">
        <v>42</v>
      </c>
      <c r="C24" s="6" t="s">
        <v>12</v>
      </c>
      <c r="D24" s="6">
        <v>3021</v>
      </c>
      <c r="E24" s="7" t="s">
        <v>43</v>
      </c>
      <c r="F24" s="7" t="s">
        <v>44</v>
      </c>
      <c r="G24" s="6" t="s">
        <v>45</v>
      </c>
    </row>
    <row r="25" ht="75" spans="1:7">
      <c r="A25" s="6" t="str">
        <f t="shared" si="9"/>
        <v>JPCFS3021</v>
      </c>
      <c r="B25" s="7" t="s">
        <v>42</v>
      </c>
      <c r="C25" s="6" t="s">
        <v>8</v>
      </c>
      <c r="D25" s="6">
        <v>3021</v>
      </c>
      <c r="E25" s="7" t="s">
        <v>43</v>
      </c>
      <c r="F25" s="7" t="s">
        <v>44</v>
      </c>
      <c r="G25" s="6" t="s">
        <v>45</v>
      </c>
    </row>
    <row r="26" ht="75" spans="1:7">
      <c r="A26" s="6" t="str">
        <f t="shared" si="9"/>
        <v>JPCY3023</v>
      </c>
      <c r="B26" s="7" t="s">
        <v>42</v>
      </c>
      <c r="C26" s="6" t="s">
        <v>12</v>
      </c>
      <c r="D26" s="6">
        <v>3023</v>
      </c>
      <c r="E26" s="7" t="s">
        <v>43</v>
      </c>
      <c r="F26" s="7" t="s">
        <v>44</v>
      </c>
      <c r="G26" s="6" t="s">
        <v>45</v>
      </c>
    </row>
    <row r="27" ht="75" spans="1:7">
      <c r="A27" s="6" t="str">
        <f t="shared" ref="A27:A28" si="11">B27&amp;C27&amp;D27</f>
        <v>JPCFS3023</v>
      </c>
      <c r="B27" s="7" t="s">
        <v>42</v>
      </c>
      <c r="C27" s="6" t="s">
        <v>8</v>
      </c>
      <c r="D27" s="6">
        <v>3023</v>
      </c>
      <c r="E27" s="7" t="s">
        <v>43</v>
      </c>
      <c r="F27" s="7" t="s">
        <v>44</v>
      </c>
      <c r="G27" s="6" t="s">
        <v>45</v>
      </c>
    </row>
    <row r="28" ht="60" spans="1:7">
      <c r="A28" s="6" t="str">
        <f t="shared" si="11"/>
        <v>AUCY3014</v>
      </c>
      <c r="B28" s="7" t="s">
        <v>46</v>
      </c>
      <c r="C28" s="6" t="s">
        <v>12</v>
      </c>
      <c r="D28" s="6">
        <v>3014</v>
      </c>
      <c r="E28" s="7" t="s">
        <v>47</v>
      </c>
      <c r="F28" s="7" t="s">
        <v>48</v>
      </c>
      <c r="G28" s="6" t="s">
        <v>49</v>
      </c>
    </row>
    <row r="29" ht="60" spans="1:7">
      <c r="A29" s="6" t="str">
        <f t="shared" ref="A29:A30" si="12">B29&amp;C29&amp;D29</f>
        <v>AUCFS3014</v>
      </c>
      <c r="B29" s="7" t="s">
        <v>46</v>
      </c>
      <c r="C29" s="6" t="s">
        <v>8</v>
      </c>
      <c r="D29" s="6">
        <v>3014</v>
      </c>
      <c r="E29" s="7" t="s">
        <v>47</v>
      </c>
      <c r="F29" s="7" t="s">
        <v>48</v>
      </c>
      <c r="G29" s="6" t="s">
        <v>49</v>
      </c>
    </row>
    <row r="30" ht="60" spans="1:7">
      <c r="A30" s="6" t="str">
        <f t="shared" si="12"/>
        <v>AUCY3011</v>
      </c>
      <c r="B30" s="7" t="s">
        <v>46</v>
      </c>
      <c r="C30" s="6" t="s">
        <v>12</v>
      </c>
      <c r="D30" s="6">
        <v>3011</v>
      </c>
      <c r="E30" s="7" t="s">
        <v>47</v>
      </c>
      <c r="F30" s="7" t="s">
        <v>50</v>
      </c>
      <c r="G30" s="6" t="s">
        <v>51</v>
      </c>
    </row>
    <row r="31" ht="60" spans="1:7">
      <c r="A31" s="6" t="str">
        <f t="shared" ref="A31:A32" si="13">B31&amp;C31&amp;D31</f>
        <v>AUCFS3011</v>
      </c>
      <c r="B31" s="7" t="s">
        <v>46</v>
      </c>
      <c r="C31" s="6" t="s">
        <v>8</v>
      </c>
      <c r="D31" s="6">
        <v>3011</v>
      </c>
      <c r="E31" s="7" t="s">
        <v>47</v>
      </c>
      <c r="F31" s="7" t="s">
        <v>50</v>
      </c>
      <c r="G31" s="6" t="s">
        <v>51</v>
      </c>
    </row>
    <row r="32" ht="60" spans="1:7">
      <c r="A32" s="6" t="str">
        <f t="shared" si="13"/>
        <v>AUCY3013</v>
      </c>
      <c r="B32" s="7" t="s">
        <v>46</v>
      </c>
      <c r="C32" s="6" t="s">
        <v>12</v>
      </c>
      <c r="D32" s="6">
        <v>3013</v>
      </c>
      <c r="E32" s="7" t="s">
        <v>47</v>
      </c>
      <c r="F32" s="7" t="s">
        <v>52</v>
      </c>
      <c r="G32" s="6" t="s">
        <v>53</v>
      </c>
    </row>
    <row r="33" ht="60" spans="1:7">
      <c r="A33" s="6" t="str">
        <f t="shared" ref="A33:A34" si="14">B33&amp;C33&amp;D33</f>
        <v>AUCFS3013</v>
      </c>
      <c r="B33" s="7" t="s">
        <v>46</v>
      </c>
      <c r="C33" s="6" t="s">
        <v>8</v>
      </c>
      <c r="D33" s="6">
        <v>3013</v>
      </c>
      <c r="E33" s="7" t="s">
        <v>47</v>
      </c>
      <c r="F33" s="7" t="s">
        <v>52</v>
      </c>
      <c r="G33" s="6" t="s">
        <v>53</v>
      </c>
    </row>
    <row r="34" ht="90" spans="1:7">
      <c r="A34" s="6" t="str">
        <f t="shared" si="14"/>
        <v>MYCY3171</v>
      </c>
      <c r="B34" s="7" t="s">
        <v>54</v>
      </c>
      <c r="C34" s="6" t="s">
        <v>12</v>
      </c>
      <c r="D34" s="6">
        <v>3171</v>
      </c>
      <c r="E34" s="7" t="s">
        <v>55</v>
      </c>
      <c r="F34" s="7" t="s">
        <v>56</v>
      </c>
      <c r="G34" s="6" t="s">
        <v>57</v>
      </c>
    </row>
    <row r="35" ht="90" spans="1:7">
      <c r="A35" s="6" t="str">
        <f t="shared" ref="A35:A36" si="15">B35&amp;C35&amp;D35</f>
        <v>MYCFS3171</v>
      </c>
      <c r="B35" s="7" t="s">
        <v>54</v>
      </c>
      <c r="C35" s="6" t="s">
        <v>8</v>
      </c>
      <c r="D35" s="6">
        <v>3171</v>
      </c>
      <c r="E35" s="7" t="s">
        <v>55</v>
      </c>
      <c r="F35" s="7" t="s">
        <v>56</v>
      </c>
      <c r="G35" s="6" t="s">
        <v>57</v>
      </c>
    </row>
    <row r="36" ht="45" spans="1:7">
      <c r="A36" s="6" t="str">
        <f t="shared" si="15"/>
        <v>CNCY3121</v>
      </c>
      <c r="B36" s="7" t="s">
        <v>58</v>
      </c>
      <c r="C36" s="6" t="s">
        <v>12</v>
      </c>
      <c r="D36" s="6">
        <v>3121</v>
      </c>
      <c r="E36" s="7" t="s">
        <v>59</v>
      </c>
      <c r="F36" s="7" t="s">
        <v>60</v>
      </c>
      <c r="G36" s="6" t="s">
        <v>61</v>
      </c>
    </row>
    <row r="37" ht="45" spans="1:7">
      <c r="A37" s="6" t="str">
        <f t="shared" ref="A37:A38" si="16">B37&amp;C37&amp;D37</f>
        <v>CNCFS3121</v>
      </c>
      <c r="B37" s="7" t="s">
        <v>58</v>
      </c>
      <c r="C37" s="6" t="s">
        <v>8</v>
      </c>
      <c r="D37" s="6">
        <v>3121</v>
      </c>
      <c r="E37" s="7" t="s">
        <v>59</v>
      </c>
      <c r="F37" s="7" t="s">
        <v>60</v>
      </c>
      <c r="G37" s="6" t="s">
        <v>61</v>
      </c>
    </row>
    <row r="38" ht="45" spans="1:7">
      <c r="A38" s="6" t="str">
        <f t="shared" si="16"/>
        <v>CNCY3091</v>
      </c>
      <c r="B38" s="7" t="s">
        <v>58</v>
      </c>
      <c r="C38" s="6" t="s">
        <v>12</v>
      </c>
      <c r="D38" s="6">
        <v>3091</v>
      </c>
      <c r="E38" s="7" t="s">
        <v>62</v>
      </c>
      <c r="F38" s="7" t="s">
        <v>60</v>
      </c>
      <c r="G38" s="6" t="s">
        <v>61</v>
      </c>
    </row>
    <row r="39" ht="45" spans="1:7">
      <c r="A39" s="6" t="str">
        <f t="shared" ref="A39:A40" si="17">B39&amp;C39&amp;D39</f>
        <v>CNCFS3091</v>
      </c>
      <c r="B39" s="7" t="s">
        <v>58</v>
      </c>
      <c r="C39" s="6" t="s">
        <v>8</v>
      </c>
      <c r="D39" s="6">
        <v>3091</v>
      </c>
      <c r="E39" s="7" t="s">
        <v>62</v>
      </c>
      <c r="F39" s="7" t="s">
        <v>60</v>
      </c>
      <c r="G39" s="6" t="s">
        <v>61</v>
      </c>
    </row>
    <row r="40" ht="60" spans="1:7">
      <c r="A40" s="6" t="str">
        <f t="shared" si="17"/>
        <v>MXCY2002</v>
      </c>
      <c r="B40" s="7" t="s">
        <v>63</v>
      </c>
      <c r="C40" s="6" t="s">
        <v>12</v>
      </c>
      <c r="D40" s="6">
        <v>2002</v>
      </c>
      <c r="E40" s="7" t="s">
        <v>64</v>
      </c>
      <c r="F40" s="7" t="s">
        <v>65</v>
      </c>
      <c r="G40" s="6" t="s">
        <v>66</v>
      </c>
    </row>
    <row r="41" ht="60" spans="1:7">
      <c r="A41" s="6" t="str">
        <f t="shared" ref="A41:A44" si="18">B41&amp;C41&amp;D41</f>
        <v>MXCFS2002</v>
      </c>
      <c r="B41" s="7" t="s">
        <v>63</v>
      </c>
      <c r="C41" s="6" t="s">
        <v>8</v>
      </c>
      <c r="D41" s="6">
        <v>2002</v>
      </c>
      <c r="E41" s="7" t="s">
        <v>64</v>
      </c>
      <c r="F41" s="7" t="s">
        <v>65</v>
      </c>
      <c r="G41" s="6" t="s">
        <v>66</v>
      </c>
    </row>
    <row r="42" ht="75" spans="1:7">
      <c r="A42" s="6" t="str">
        <f t="shared" si="18"/>
        <v>THCFS3001</v>
      </c>
      <c r="B42" s="7" t="s">
        <v>67</v>
      </c>
      <c r="C42" s="6" t="s">
        <v>8</v>
      </c>
      <c r="D42" s="6">
        <v>3001</v>
      </c>
      <c r="E42" s="7" t="s">
        <v>68</v>
      </c>
      <c r="F42" s="7" t="s">
        <v>65</v>
      </c>
      <c r="G42" s="6" t="s">
        <v>69</v>
      </c>
    </row>
    <row r="43" ht="75" spans="1:7">
      <c r="A43" s="6" t="str">
        <f t="shared" si="18"/>
        <v>THCY3001</v>
      </c>
      <c r="B43" s="7" t="s">
        <v>67</v>
      </c>
      <c r="C43" s="6" t="s">
        <v>12</v>
      </c>
      <c r="D43" s="6">
        <v>3001</v>
      </c>
      <c r="E43" s="7" t="s">
        <v>68</v>
      </c>
      <c r="F43" s="7" t="s">
        <v>65</v>
      </c>
      <c r="G43" s="6" t="s">
        <v>69</v>
      </c>
    </row>
    <row r="44" ht="90" spans="1:7">
      <c r="A44" s="6" t="str">
        <f t="shared" si="18"/>
        <v>LBCFS2003</v>
      </c>
      <c r="B44" s="7" t="s">
        <v>70</v>
      </c>
      <c r="C44" s="6" t="s">
        <v>8</v>
      </c>
      <c r="D44" s="6">
        <v>2003</v>
      </c>
      <c r="E44" s="7" t="s">
        <v>71</v>
      </c>
      <c r="F44" s="7" t="s">
        <v>24</v>
      </c>
      <c r="G44" s="6" t="s">
        <v>72</v>
      </c>
    </row>
    <row r="45" ht="90" spans="1:7">
      <c r="A45" s="6" t="str">
        <f t="shared" ref="A45:A48" si="19">B45&amp;C45&amp;D45</f>
        <v>LBCY2003</v>
      </c>
      <c r="B45" s="7" t="s">
        <v>70</v>
      </c>
      <c r="C45" s="6" t="s">
        <v>12</v>
      </c>
      <c r="D45" s="6">
        <v>2003</v>
      </c>
      <c r="E45" s="7" t="s">
        <v>71</v>
      </c>
      <c r="F45" s="7" t="s">
        <v>24</v>
      </c>
      <c r="G45" s="6" t="s">
        <v>72</v>
      </c>
    </row>
    <row r="46" ht="90" spans="1:7">
      <c r="A46" s="6" t="str">
        <f t="shared" si="19"/>
        <v>NZCY3001</v>
      </c>
      <c r="B46" s="7" t="s">
        <v>73</v>
      </c>
      <c r="C46" s="6" t="s">
        <v>12</v>
      </c>
      <c r="D46" s="6">
        <v>3001</v>
      </c>
      <c r="E46" s="7" t="s">
        <v>74</v>
      </c>
      <c r="F46" s="7" t="s">
        <v>24</v>
      </c>
      <c r="G46" s="6" t="s">
        <v>75</v>
      </c>
    </row>
    <row r="47" ht="90" spans="1:7">
      <c r="A47" s="6" t="str">
        <f t="shared" si="19"/>
        <v>NZCFS3001</v>
      </c>
      <c r="B47" s="7" t="s">
        <v>73</v>
      </c>
      <c r="C47" s="6" t="s">
        <v>8</v>
      </c>
      <c r="D47" s="6">
        <v>3001</v>
      </c>
      <c r="E47" s="7" t="s">
        <v>74</v>
      </c>
      <c r="F47" s="7" t="s">
        <v>24</v>
      </c>
      <c r="G47" s="6" t="s">
        <v>75</v>
      </c>
    </row>
    <row r="48" ht="60" spans="1:7">
      <c r="A48" s="6" t="str">
        <f t="shared" si="19"/>
        <v>CHCY2004</v>
      </c>
      <c r="B48" s="7" t="s">
        <v>76</v>
      </c>
      <c r="C48" s="6" t="s">
        <v>12</v>
      </c>
      <c r="D48" s="6">
        <v>2004</v>
      </c>
      <c r="E48" s="7" t="s">
        <v>77</v>
      </c>
      <c r="F48" s="7" t="s">
        <v>78</v>
      </c>
      <c r="G48" s="6" t="s">
        <v>37</v>
      </c>
    </row>
    <row r="49" ht="60" spans="1:7">
      <c r="A49" s="6" t="str">
        <f t="shared" ref="A49" si="20">B49&amp;C49&amp;D49</f>
        <v>CHCFS2004</v>
      </c>
      <c r="B49" s="7" t="s">
        <v>76</v>
      </c>
      <c r="C49" s="6" t="s">
        <v>8</v>
      </c>
      <c r="D49" s="6">
        <v>2004</v>
      </c>
      <c r="E49" s="7" t="s">
        <v>77</v>
      </c>
      <c r="F49" s="7" t="s">
        <v>78</v>
      </c>
      <c r="G49" s="6" t="s">
        <v>37</v>
      </c>
    </row>
    <row r="50" ht="75" spans="1:7">
      <c r="A50" s="6" t="str">
        <f t="shared" ref="A50:A65" si="21">B50&amp;C50&amp;D50</f>
        <v>ILCFS2003</v>
      </c>
      <c r="B50" s="6" t="s">
        <v>79</v>
      </c>
      <c r="C50" s="6" t="s">
        <v>8</v>
      </c>
      <c r="D50" s="6">
        <v>2003</v>
      </c>
      <c r="E50" s="7" t="s">
        <v>80</v>
      </c>
      <c r="F50" s="7" t="s">
        <v>24</v>
      </c>
      <c r="G50" s="6" t="s">
        <v>81</v>
      </c>
    </row>
    <row r="51" ht="75" spans="1:7">
      <c r="A51" s="6" t="str">
        <f t="shared" si="21"/>
        <v>ILCY2003</v>
      </c>
      <c r="B51" s="6" t="s">
        <v>79</v>
      </c>
      <c r="C51" s="6" t="s">
        <v>12</v>
      </c>
      <c r="D51" s="6">
        <v>2003</v>
      </c>
      <c r="E51" s="7" t="s">
        <v>80</v>
      </c>
      <c r="F51" s="7" t="s">
        <v>24</v>
      </c>
      <c r="G51" s="6" t="s">
        <v>81</v>
      </c>
    </row>
    <row r="52" ht="45" spans="1:7">
      <c r="A52" s="6" t="str">
        <f t="shared" si="21"/>
        <v>TWCFS3001</v>
      </c>
      <c r="B52" s="6" t="s">
        <v>82</v>
      </c>
      <c r="C52" s="6" t="s">
        <v>8</v>
      </c>
      <c r="D52" s="6">
        <v>3001</v>
      </c>
      <c r="E52" s="7" t="s">
        <v>83</v>
      </c>
      <c r="F52" s="7" t="s">
        <v>24</v>
      </c>
      <c r="G52" s="6" t="s">
        <v>84</v>
      </c>
    </row>
    <row r="53" ht="45" spans="1:7">
      <c r="A53" s="6" t="str">
        <f t="shared" si="21"/>
        <v>TWCY3001</v>
      </c>
      <c r="B53" s="6" t="s">
        <v>82</v>
      </c>
      <c r="C53" s="6" t="s">
        <v>12</v>
      </c>
      <c r="D53" s="6">
        <v>3001</v>
      </c>
      <c r="E53" s="7" t="s">
        <v>83</v>
      </c>
      <c r="F53" s="7" t="s">
        <v>24</v>
      </c>
      <c r="G53" s="6" t="s">
        <v>84</v>
      </c>
    </row>
    <row r="54" ht="60" spans="1:7">
      <c r="A54" s="6" t="str">
        <f t="shared" si="21"/>
        <v>USCFS2002</v>
      </c>
      <c r="B54" s="6" t="s">
        <v>13</v>
      </c>
      <c r="C54" s="6" t="s">
        <v>8</v>
      </c>
      <c r="D54" s="6">
        <v>2002</v>
      </c>
      <c r="E54" s="7" t="s">
        <v>85</v>
      </c>
      <c r="F54" s="7" t="s">
        <v>86</v>
      </c>
      <c r="G54" s="6" t="s">
        <v>87</v>
      </c>
    </row>
    <row r="55" ht="60" spans="1:7">
      <c r="A55" s="6" t="str">
        <f t="shared" si="21"/>
        <v>USCY2002</v>
      </c>
      <c r="B55" s="6" t="s">
        <v>13</v>
      </c>
      <c r="C55" s="6" t="s">
        <v>12</v>
      </c>
      <c r="D55" s="6">
        <v>2002</v>
      </c>
      <c r="E55" s="7" t="s">
        <v>85</v>
      </c>
      <c r="F55" s="7" t="s">
        <v>86</v>
      </c>
      <c r="G55" s="6" t="s">
        <v>87</v>
      </c>
    </row>
    <row r="56" ht="45" spans="1:7">
      <c r="A56" s="6" t="str">
        <f t="shared" si="21"/>
        <v>UAECFS2003</v>
      </c>
      <c r="B56" s="6" t="s">
        <v>88</v>
      </c>
      <c r="C56" s="6" t="s">
        <v>8</v>
      </c>
      <c r="D56" s="6">
        <v>2003</v>
      </c>
      <c r="E56" s="7" t="s">
        <v>89</v>
      </c>
      <c r="F56" s="6" t="s">
        <v>90</v>
      </c>
      <c r="G56" s="6" t="s">
        <v>91</v>
      </c>
    </row>
    <row r="57" ht="45" spans="1:7">
      <c r="A57" s="6" t="str">
        <f t="shared" si="21"/>
        <v>UAECY2003</v>
      </c>
      <c r="B57" s="6" t="s">
        <v>88</v>
      </c>
      <c r="C57" s="6" t="s">
        <v>12</v>
      </c>
      <c r="D57" s="6">
        <v>2003</v>
      </c>
      <c r="E57" s="7" t="s">
        <v>89</v>
      </c>
      <c r="F57" s="6" t="s">
        <v>90</v>
      </c>
      <c r="G57" s="6" t="s">
        <v>91</v>
      </c>
    </row>
    <row r="58" ht="45" spans="1:7">
      <c r="A58" s="6" t="str">
        <f t="shared" si="21"/>
        <v>PHCFS3281</v>
      </c>
      <c r="B58" s="6" t="s">
        <v>92</v>
      </c>
      <c r="C58" s="6" t="s">
        <v>8</v>
      </c>
      <c r="D58" s="6">
        <v>3281</v>
      </c>
      <c r="E58" s="7" t="s">
        <v>93</v>
      </c>
      <c r="F58" s="6" t="s">
        <v>90</v>
      </c>
      <c r="G58" s="6" t="s">
        <v>94</v>
      </c>
    </row>
    <row r="59" ht="45" spans="1:7">
      <c r="A59" s="6" t="str">
        <f t="shared" si="21"/>
        <v>PHCY3281</v>
      </c>
      <c r="B59" s="6" t="s">
        <v>92</v>
      </c>
      <c r="C59" s="6" t="s">
        <v>12</v>
      </c>
      <c r="D59" s="6">
        <v>3281</v>
      </c>
      <c r="E59" s="7" t="s">
        <v>93</v>
      </c>
      <c r="F59" s="6" t="s">
        <v>90</v>
      </c>
      <c r="G59" s="6" t="s">
        <v>94</v>
      </c>
    </row>
    <row r="60" ht="60" spans="1:7">
      <c r="A60" s="6" t="str">
        <f t="shared" si="21"/>
        <v>PECFS2002</v>
      </c>
      <c r="B60" s="6" t="s">
        <v>95</v>
      </c>
      <c r="C60" s="6" t="s">
        <v>8</v>
      </c>
      <c r="D60" s="6">
        <v>2002</v>
      </c>
      <c r="E60" s="7" t="s">
        <v>96</v>
      </c>
      <c r="F60" s="6" t="s">
        <v>90</v>
      </c>
      <c r="G60" s="6" t="s">
        <v>97</v>
      </c>
    </row>
    <row r="61" ht="60" spans="1:7">
      <c r="A61" s="6" t="str">
        <f t="shared" si="21"/>
        <v>PECY2002</v>
      </c>
      <c r="B61" s="6" t="s">
        <v>95</v>
      </c>
      <c r="C61" s="6" t="s">
        <v>12</v>
      </c>
      <c r="D61" s="6">
        <v>2002</v>
      </c>
      <c r="E61" s="7" t="s">
        <v>96</v>
      </c>
      <c r="F61" s="6" t="s">
        <v>90</v>
      </c>
      <c r="G61" s="6" t="s">
        <v>97</v>
      </c>
    </row>
    <row r="62" ht="75" spans="1:7">
      <c r="A62" s="6" t="str">
        <f t="shared" si="21"/>
        <v>CNHKCFS3001</v>
      </c>
      <c r="B62" s="6" t="s">
        <v>98</v>
      </c>
      <c r="C62" s="6" t="s">
        <v>8</v>
      </c>
      <c r="D62" s="6">
        <v>3001</v>
      </c>
      <c r="E62" s="7" t="s">
        <v>99</v>
      </c>
      <c r="F62" s="7" t="s">
        <v>24</v>
      </c>
      <c r="G62" s="6" t="s">
        <v>100</v>
      </c>
    </row>
    <row r="63" ht="75" spans="1:7">
      <c r="A63" s="6" t="str">
        <f t="shared" si="21"/>
        <v>CNHKCY3001</v>
      </c>
      <c r="B63" s="6" t="s">
        <v>98</v>
      </c>
      <c r="C63" s="6" t="s">
        <v>12</v>
      </c>
      <c r="D63" s="6">
        <v>3001</v>
      </c>
      <c r="E63" s="7" t="s">
        <v>101</v>
      </c>
      <c r="F63" s="7" t="s">
        <v>102</v>
      </c>
      <c r="G63" s="6" t="s">
        <v>100</v>
      </c>
    </row>
    <row r="64" ht="75" spans="1:7">
      <c r="A64" s="6" t="str">
        <f t="shared" si="21"/>
        <v>DOCFS2002</v>
      </c>
      <c r="B64" s="6" t="s">
        <v>103</v>
      </c>
      <c r="C64" s="6" t="s">
        <v>8</v>
      </c>
      <c r="D64" s="6">
        <v>2002</v>
      </c>
      <c r="E64" s="7" t="s">
        <v>104</v>
      </c>
      <c r="F64" s="7" t="s">
        <v>105</v>
      </c>
      <c r="G64" s="6" t="s">
        <v>106</v>
      </c>
    </row>
    <row r="65" ht="75" spans="1:7">
      <c r="A65" s="6" t="str">
        <f t="shared" si="21"/>
        <v>DOCY2002</v>
      </c>
      <c r="B65" s="6" t="s">
        <v>103</v>
      </c>
      <c r="C65" s="6" t="s">
        <v>12</v>
      </c>
      <c r="D65" s="6">
        <v>2002</v>
      </c>
      <c r="E65" s="7" t="s">
        <v>104</v>
      </c>
      <c r="F65" s="7" t="s">
        <v>105</v>
      </c>
      <c r="G65" s="6" t="s">
        <v>106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SCI-PC118</dc:creator>
  <cp:lastModifiedBy>SCI-PC188</cp:lastModifiedBy>
  <dcterms:created xsi:type="dcterms:W3CDTF">2026-04-13T02:53:00Z</dcterms:created>
  <dcterms:modified xsi:type="dcterms:W3CDTF">2026-07-10T02:08:21Z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1033-11.2.0.9327</vt:lpwstr>
  </property>
</Properties>
</file>